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raf.samir\Desktop\"/>
    </mc:Choice>
  </mc:AlternateContent>
  <xr:revisionPtr revIDLastSave="0" documentId="13_ncr:1_{40E90EFF-A986-4D28-9FF4-6E60CE8C4D66}" xr6:coauthVersionLast="47" xr6:coauthVersionMax="47" xr10:uidLastSave="{00000000-0000-0000-0000-000000000000}"/>
  <bookViews>
    <workbookView xWindow="-120" yWindow="-120" windowWidth="29040" windowHeight="17520" xr2:uid="{89247284-4C5F-430C-8A9B-7CE3D56F6049}"/>
  </bookViews>
  <sheets>
    <sheet name="Sheet1" sheetId="1" r:id="rId1"/>
  </sheets>
  <definedNames>
    <definedName name="_xlnm._FilterDatabase" localSheetId="0" hidden="1">Sheet1!$A$1:$R$83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V11" i="1"/>
  <c r="V12" i="1"/>
  <c r="V13" i="1"/>
  <c r="V3" i="1"/>
  <c r="U4" i="1"/>
  <c r="U5" i="1"/>
  <c r="U6" i="1"/>
  <c r="U7" i="1"/>
  <c r="U8" i="1"/>
  <c r="U9" i="1"/>
  <c r="U10" i="1"/>
  <c r="U11" i="1"/>
  <c r="U12" i="1"/>
  <c r="U13" i="1"/>
  <c r="U3" i="1"/>
  <c r="N28" i="1"/>
  <c r="N14" i="1"/>
  <c r="N51" i="1"/>
  <c r="N72" i="1"/>
  <c r="N17" i="1"/>
  <c r="N25" i="1"/>
  <c r="N46" i="1"/>
  <c r="N61" i="1"/>
  <c r="N55" i="1"/>
  <c r="N3" i="1"/>
  <c r="N27" i="1"/>
  <c r="N2" i="1"/>
  <c r="N74" i="1"/>
  <c r="N73" i="1"/>
  <c r="N47" i="1"/>
  <c r="N65" i="1"/>
  <c r="N23" i="1"/>
  <c r="N30" i="1"/>
  <c r="N83" i="1"/>
  <c r="N79" i="1"/>
  <c r="N43" i="1"/>
  <c r="N57" i="1"/>
  <c r="N9" i="1"/>
  <c r="N29" i="1"/>
  <c r="N54" i="1"/>
  <c r="N78" i="1"/>
  <c r="N77" i="1"/>
  <c r="N36" i="1"/>
  <c r="N20" i="1"/>
  <c r="N39" i="1"/>
  <c r="N37" i="1"/>
  <c r="N13" i="1"/>
  <c r="N6" i="1"/>
  <c r="N50" i="1"/>
  <c r="N71" i="1"/>
  <c r="N49" i="1"/>
  <c r="N66" i="1"/>
  <c r="N33" i="1"/>
  <c r="N60" i="1"/>
  <c r="N42" i="1"/>
  <c r="N40" i="1"/>
  <c r="N15" i="1"/>
  <c r="N35" i="1"/>
  <c r="N26" i="1"/>
  <c r="N70" i="1"/>
  <c r="N68" i="1"/>
  <c r="N24" i="1"/>
  <c r="N64" i="1"/>
  <c r="N45" i="1"/>
  <c r="N59" i="1"/>
  <c r="N22" i="1"/>
  <c r="N5" i="1"/>
  <c r="N81" i="1"/>
  <c r="N53" i="1"/>
  <c r="N76" i="1"/>
  <c r="N8" i="1"/>
  <c r="N7" i="1"/>
  <c r="N10" i="1"/>
  <c r="N63" i="1"/>
  <c r="N32" i="1"/>
  <c r="N41" i="1"/>
  <c r="N19" i="1"/>
  <c r="N34" i="1"/>
  <c r="N11" i="1"/>
  <c r="N44" i="1"/>
  <c r="N56" i="1"/>
  <c r="N52" i="1"/>
  <c r="N75" i="1"/>
  <c r="N18" i="1"/>
  <c r="N12" i="1"/>
  <c r="N67" i="1"/>
  <c r="N62" i="1"/>
  <c r="N58" i="1"/>
  <c r="N4" i="1"/>
  <c r="N82" i="1"/>
  <c r="N80" i="1"/>
  <c r="N38" i="1"/>
  <c r="N21" i="1"/>
  <c r="N69" i="1"/>
  <c r="N48" i="1"/>
  <c r="N16" i="1"/>
  <c r="N31" i="1"/>
  <c r="W7" i="1" l="1"/>
  <c r="W10" i="1"/>
  <c r="W9" i="1"/>
  <c r="W8" i="1"/>
  <c r="W3" i="1"/>
  <c r="W15" i="1" s="1"/>
  <c r="W6" i="1"/>
  <c r="W13" i="1"/>
  <c r="W5" i="1"/>
  <c r="W12" i="1"/>
  <c r="W11" i="1"/>
  <c r="W4" i="1"/>
</calcChain>
</file>

<file path=xl/sharedStrings.xml><?xml version="1.0" encoding="utf-8"?>
<sst xmlns="http://schemas.openxmlformats.org/spreadsheetml/2006/main" count="771" uniqueCount="351">
  <si>
    <t>محمود محمد محمود علي</t>
  </si>
  <si>
    <t xml:space="preserve">إبراهيم علاء صادق علي </t>
  </si>
  <si>
    <t>أحمد عمر محمد خلف</t>
  </si>
  <si>
    <t>أمجد محمد سمير علي</t>
  </si>
  <si>
    <t>كرستينا وليم نصيف عجايبي</t>
  </si>
  <si>
    <t>أحمد رأفت محمد عبدالمجيد</t>
  </si>
  <si>
    <t xml:space="preserve">هاني رمضان عبدالعزبز روبي </t>
  </si>
  <si>
    <t>محمد عادل عبدالعليم الكفراوى</t>
  </si>
  <si>
    <t>سامح سعدالدين محمود علي</t>
  </si>
  <si>
    <t>ياسمين عبدالنعيم حامد محمود</t>
  </si>
  <si>
    <t>وائل عوض علي علي</t>
  </si>
  <si>
    <t>أحمد محمد سعيد عبدالفتاح الخضرى</t>
  </si>
  <si>
    <t xml:space="preserve">هنادي محمد نورالدين عبدالله شومان </t>
  </si>
  <si>
    <t>محمد جمال عبدالحافظ خليفة</t>
  </si>
  <si>
    <t>محمد شحات أحمد حنفي</t>
  </si>
  <si>
    <t>سيد حمدالله عبدالحميد عبدالعال</t>
  </si>
  <si>
    <t>محمد نصرالدين محمد علي</t>
  </si>
  <si>
    <t>عبدالرحمن محمود سيد نعيم</t>
  </si>
  <si>
    <t>محمود محمد محمود محمد</t>
  </si>
  <si>
    <t>وسام عصام راشد أحمد</t>
  </si>
  <si>
    <t>هدير أحمد محمد أحمد</t>
  </si>
  <si>
    <t>شيماء محمد حسن محمد</t>
  </si>
  <si>
    <t>محمود سيد حسين أحمد</t>
  </si>
  <si>
    <t xml:space="preserve">أحمد عادل عبدالحميد شفيق </t>
  </si>
  <si>
    <t>مروه عبدالمنعم محمد محمد</t>
  </si>
  <si>
    <t>أحمد عزت أحمد السيد</t>
  </si>
  <si>
    <t>عبدالرحمن عزيز السيد محمد</t>
  </si>
  <si>
    <t>أحمد حامد محمد حامد</t>
  </si>
  <si>
    <t>محمد رمضان عبدالرحيم أحمد</t>
  </si>
  <si>
    <t>محمود عباس عبدالسلام ضيف</t>
  </si>
  <si>
    <t>أحمد محمود أحمد محمود</t>
  </si>
  <si>
    <t>هشام رمضان عبدالرحيم رمضان</t>
  </si>
  <si>
    <t>عمار فؤاد سعيد رضا</t>
  </si>
  <si>
    <t>محمد حسين صالح علي</t>
  </si>
  <si>
    <t>محمد علي عصمت السيسي</t>
  </si>
  <si>
    <t>مني أحمد شعبان إبراهيم</t>
  </si>
  <si>
    <t>عاصم إبراهيم إبراهيم الدخاخني</t>
  </si>
  <si>
    <t>فادي يوسف جورج يوسف</t>
  </si>
  <si>
    <t>مازن لؤي قصى محب الدين الخطيب</t>
  </si>
  <si>
    <t>سلمى حسن أحمد محمد ثابت</t>
  </si>
  <si>
    <t>عمر مختار جمال عبدالغفور</t>
  </si>
  <si>
    <t>ياسر عبدالفتاح نسيم أحمد</t>
  </si>
  <si>
    <t>سعيد عيدالمنعم عبدالفتاح النحاس</t>
  </si>
  <si>
    <t>أميرة شوقي أمين عوض</t>
  </si>
  <si>
    <t>عمرو أحمد تيسير السيد محمد عبدالغني</t>
  </si>
  <si>
    <t>عبدالله وجيه نجاح سليمان سليمان</t>
  </si>
  <si>
    <t>أحمد محمد عبدالعزيز أحمد محمد</t>
  </si>
  <si>
    <t>آية ممدوح أحمد عبدالجواد شتا</t>
  </si>
  <si>
    <t>محمود رضا محمود السيد</t>
  </si>
  <si>
    <t>ليلى فاروق علي أحمد عبدربه</t>
  </si>
  <si>
    <t>محمد سيد محمد عبدالقادر</t>
  </si>
  <si>
    <t>برسوم نعيم سليمان يوسف</t>
  </si>
  <si>
    <t>مينا أنسي حافظ أبادير سعيد</t>
  </si>
  <si>
    <t>مصطفى محمد محمود مدكور موسى</t>
  </si>
  <si>
    <t>أحمد خالد كمال أحمد</t>
  </si>
  <si>
    <t>يمنى حسن أحمد حسين محمد خليل</t>
  </si>
  <si>
    <t>سارة محمد حسن جاد</t>
  </si>
  <si>
    <t>مصطفى محمود محمد إبراهيم</t>
  </si>
  <si>
    <t>عمر محمد مجدي فرج</t>
  </si>
  <si>
    <t>سلمى محمود محمد رسمي</t>
  </si>
  <si>
    <t>أحمد سيد حمدالله عبدالحميد</t>
  </si>
  <si>
    <t>مصطفى محمدالمهدي أمين محمد</t>
  </si>
  <si>
    <t>عبدالله رجب بكري محمد</t>
  </si>
  <si>
    <t>كريم حسنين عبدالمنعم حسنين</t>
  </si>
  <si>
    <t>عبدالرحمن سعيد امام عبدالجواد</t>
  </si>
  <si>
    <t>عمرو محمد عبدالتواب محمد</t>
  </si>
  <si>
    <t>عمر محمد صابر علي</t>
  </si>
  <si>
    <t>عمرو محمد محمود محمد هارون</t>
  </si>
  <si>
    <t>محب يسري وديع وليم</t>
  </si>
  <si>
    <t>اشرف سمير عبدالغفار عبدالجواد منتصر</t>
  </si>
  <si>
    <t>منه الله احمد الدسوقى عبدالعال</t>
  </si>
  <si>
    <t>جاد شريف جاد سليمان الواحى</t>
  </si>
  <si>
    <t>احمد صلاح الدين محمد احمد</t>
  </si>
  <si>
    <t>على عبد الحميد سيد عبدالحميد</t>
  </si>
  <si>
    <t>محمد يحيى محمد خطاب</t>
  </si>
  <si>
    <t>مصطفي شريف السيد عطيه عفيفي</t>
  </si>
  <si>
    <t>نورهان وائل قرنى عبدالوهاب</t>
  </si>
  <si>
    <t>عمرو جمال عيد ابوالعنين نحيله</t>
  </si>
  <si>
    <t>خالد محمد علي الجميل</t>
  </si>
  <si>
    <t>منة احمد ابراهيم عبدالغفار عفيفي</t>
  </si>
  <si>
    <t>محمد عصام محمد ابوالدهب</t>
  </si>
  <si>
    <t>احمد خالد على محمد</t>
  </si>
  <si>
    <t>أيام العمل الفعليه</t>
  </si>
  <si>
    <t xml:space="preserve"> عدم أكتمال ساعات العمل بالساعات</t>
  </si>
  <si>
    <t>ساعات الأنصراف المبكر</t>
  </si>
  <si>
    <t>15:40</t>
  </si>
  <si>
    <t>9:21</t>
  </si>
  <si>
    <t>18:58</t>
  </si>
  <si>
    <t>11:3</t>
  </si>
  <si>
    <t>17:36</t>
  </si>
  <si>
    <t>3:13</t>
  </si>
  <si>
    <t>21:28</t>
  </si>
  <si>
    <t>11:58</t>
  </si>
  <si>
    <t>2:34</t>
  </si>
  <si>
    <t>16:57</t>
  </si>
  <si>
    <t>2:4</t>
  </si>
  <si>
    <t>30:19</t>
  </si>
  <si>
    <t>7:58</t>
  </si>
  <si>
    <t>27:25</t>
  </si>
  <si>
    <t>11:37</t>
  </si>
  <si>
    <t>29:45</t>
  </si>
  <si>
    <t>9:10</t>
  </si>
  <si>
    <t>18:55</t>
  </si>
  <si>
    <t>5:1</t>
  </si>
  <si>
    <t>9:58</t>
  </si>
  <si>
    <t>2:49</t>
  </si>
  <si>
    <t>18:3</t>
  </si>
  <si>
    <t>4:51</t>
  </si>
  <si>
    <t>23:15</t>
  </si>
  <si>
    <t>4:57</t>
  </si>
  <si>
    <t>6:30</t>
  </si>
  <si>
    <t>0:0</t>
  </si>
  <si>
    <t>3:45</t>
  </si>
  <si>
    <t>2:15</t>
  </si>
  <si>
    <t>10:10</t>
  </si>
  <si>
    <t>7:37</t>
  </si>
  <si>
    <t>16:43</t>
  </si>
  <si>
    <t>4:37</t>
  </si>
  <si>
    <t>11:12</t>
  </si>
  <si>
    <t>2:28</t>
  </si>
  <si>
    <t>18:45</t>
  </si>
  <si>
    <t>9:7</t>
  </si>
  <si>
    <t>15:45</t>
  </si>
  <si>
    <t>9:28</t>
  </si>
  <si>
    <t>11:13</t>
  </si>
  <si>
    <t>4:58</t>
  </si>
  <si>
    <t>3:15</t>
  </si>
  <si>
    <t>16:55</t>
  </si>
  <si>
    <t>7:28</t>
  </si>
  <si>
    <t>15:42</t>
  </si>
  <si>
    <t>22:22</t>
  </si>
  <si>
    <t>6:15</t>
  </si>
  <si>
    <t>14:19</t>
  </si>
  <si>
    <t>8:10</t>
  </si>
  <si>
    <t>9:24</t>
  </si>
  <si>
    <t>5:3</t>
  </si>
  <si>
    <t>20:18</t>
  </si>
  <si>
    <t>2:33</t>
  </si>
  <si>
    <t>8:4</t>
  </si>
  <si>
    <t>2:12</t>
  </si>
  <si>
    <t>3:24</t>
  </si>
  <si>
    <t>21:49</t>
  </si>
  <si>
    <t>11:45</t>
  </si>
  <si>
    <t>21:16</t>
  </si>
  <si>
    <t>11:34</t>
  </si>
  <si>
    <t>14:15</t>
  </si>
  <si>
    <t>5:7</t>
  </si>
  <si>
    <t>16:16</t>
  </si>
  <si>
    <t>26:3</t>
  </si>
  <si>
    <t>10:13</t>
  </si>
  <si>
    <t>14:30</t>
  </si>
  <si>
    <t>15:16</t>
  </si>
  <si>
    <t>6:43</t>
  </si>
  <si>
    <t>8:25</t>
  </si>
  <si>
    <t>1:1</t>
  </si>
  <si>
    <t>31:0</t>
  </si>
  <si>
    <t>10:19</t>
  </si>
  <si>
    <t>23:55</t>
  </si>
  <si>
    <t>8:19</t>
  </si>
  <si>
    <t>25:16</t>
  </si>
  <si>
    <t>2:18</t>
  </si>
  <si>
    <t>1:9</t>
  </si>
  <si>
    <t>3:30</t>
  </si>
  <si>
    <t>9:19</t>
  </si>
  <si>
    <t>9:16</t>
  </si>
  <si>
    <t>0:40</t>
  </si>
  <si>
    <t>9:6</t>
  </si>
  <si>
    <t>18:28</t>
  </si>
  <si>
    <t>6:37</t>
  </si>
  <si>
    <t>7:52</t>
  </si>
  <si>
    <t>22:37</t>
  </si>
  <si>
    <t>7:55</t>
  </si>
  <si>
    <t>2:45</t>
  </si>
  <si>
    <t>20:15</t>
  </si>
  <si>
    <t>6:1</t>
  </si>
  <si>
    <t>12:22</t>
  </si>
  <si>
    <t>7:10</t>
  </si>
  <si>
    <t>2:25</t>
  </si>
  <si>
    <t>13:18</t>
  </si>
  <si>
    <t>6:58</t>
  </si>
  <si>
    <t>9:52</t>
  </si>
  <si>
    <t>11:25</t>
  </si>
  <si>
    <t>4:49</t>
  </si>
  <si>
    <t>12:28</t>
  </si>
  <si>
    <t>2:48</t>
  </si>
  <si>
    <t>1:15</t>
  </si>
  <si>
    <t>15:30</t>
  </si>
  <si>
    <t>4:52</t>
  </si>
  <si>
    <t>22:15</t>
  </si>
  <si>
    <t>10:9</t>
  </si>
  <si>
    <t>7:40</t>
  </si>
  <si>
    <t>2:42</t>
  </si>
  <si>
    <t>5:45</t>
  </si>
  <si>
    <t>2:30</t>
  </si>
  <si>
    <t>4:45</t>
  </si>
  <si>
    <t>9:31</t>
  </si>
  <si>
    <t>14:21</t>
  </si>
  <si>
    <t>7:21</t>
  </si>
  <si>
    <t>4:34</t>
  </si>
  <si>
    <t>13:34</t>
  </si>
  <si>
    <t>19:46</t>
  </si>
  <si>
    <t>17:7</t>
  </si>
  <si>
    <t>5:12</t>
  </si>
  <si>
    <t>9:57</t>
  </si>
  <si>
    <t>7:25</t>
  </si>
  <si>
    <t>13:31</t>
  </si>
  <si>
    <t>7:46</t>
  </si>
  <si>
    <t>17:58</t>
  </si>
  <si>
    <t>9:34</t>
  </si>
  <si>
    <t>18:37</t>
  </si>
  <si>
    <t>9:4</t>
  </si>
  <si>
    <t>12:43</t>
  </si>
  <si>
    <t>7:27</t>
  </si>
  <si>
    <t>عدد عدم الأمضاء</t>
  </si>
  <si>
    <t>ساعات التأخير</t>
  </si>
  <si>
    <t>0:58</t>
  </si>
  <si>
    <t>0:37</t>
  </si>
  <si>
    <t>19:34</t>
  </si>
  <si>
    <t>9:15</t>
  </si>
  <si>
    <t>5:40</t>
  </si>
  <si>
    <t>7:16</t>
  </si>
  <si>
    <t>11:1</t>
  </si>
  <si>
    <t>1:58</t>
  </si>
  <si>
    <t>4:24</t>
  </si>
  <si>
    <t>7:54</t>
  </si>
  <si>
    <t>9:46</t>
  </si>
  <si>
    <t>4:10</t>
  </si>
  <si>
    <t>3:40</t>
  </si>
  <si>
    <t>0:34</t>
  </si>
  <si>
    <t>7:49</t>
  </si>
  <si>
    <t>2:13</t>
  </si>
  <si>
    <t>1:43</t>
  </si>
  <si>
    <t>26:49</t>
  </si>
  <si>
    <t>6:52</t>
  </si>
  <si>
    <t>7:34</t>
  </si>
  <si>
    <t>27:27</t>
  </si>
  <si>
    <t>2:58</t>
  </si>
  <si>
    <t>5:19</t>
  </si>
  <si>
    <t>10:37</t>
  </si>
  <si>
    <t>7:33</t>
  </si>
  <si>
    <t>2:3</t>
  </si>
  <si>
    <t>8:3</t>
  </si>
  <si>
    <t>1:33</t>
  </si>
  <si>
    <t>13:49</t>
  </si>
  <si>
    <t>3:19</t>
  </si>
  <si>
    <t>5:55</t>
  </si>
  <si>
    <t>28:34</t>
  </si>
  <si>
    <t>10:36</t>
  </si>
  <si>
    <t>8:36</t>
  </si>
  <si>
    <t>0:31</t>
  </si>
  <si>
    <t>2:57</t>
  </si>
  <si>
    <t>2:10</t>
  </si>
  <si>
    <t>4:13</t>
  </si>
  <si>
    <t>9:27</t>
  </si>
  <si>
    <t>16:30</t>
  </si>
  <si>
    <t>14:10</t>
  </si>
  <si>
    <t>0:30</t>
  </si>
  <si>
    <t>1:40</t>
  </si>
  <si>
    <t>1:19</t>
  </si>
  <si>
    <t>23:7</t>
  </si>
  <si>
    <t>إجمالى الاجازات</t>
  </si>
  <si>
    <t>اجازة مرضي</t>
  </si>
  <si>
    <t>DEPT</t>
  </si>
  <si>
    <t>Position</t>
  </si>
  <si>
    <t xml:space="preserve">اجازة من الرصيد </t>
  </si>
  <si>
    <t>اجازات رسمية</t>
  </si>
  <si>
    <t>اجازة وضع</t>
  </si>
  <si>
    <t>رصيد الاعتيادى</t>
  </si>
  <si>
    <t>رصيد العارضة</t>
  </si>
  <si>
    <t>رصيد 2025</t>
  </si>
  <si>
    <t>اجمالى الرصيد المتبقي</t>
  </si>
  <si>
    <t>Code</t>
  </si>
  <si>
    <t>Name</t>
  </si>
  <si>
    <t>عمليات المبيعات</t>
  </si>
  <si>
    <t xml:space="preserve">مشرف عمليات المبيعات </t>
  </si>
  <si>
    <t>مشرف عمليات مبيعات</t>
  </si>
  <si>
    <t>تطوير الأعمال</t>
  </si>
  <si>
    <t>رئيس قطاع تطوير الأعمال / نائب العضو المنتدب</t>
  </si>
  <si>
    <t>مدير  أول تطوير مشروعات التمويل</t>
  </si>
  <si>
    <t>مشرف أول تطوير الأعمال</t>
  </si>
  <si>
    <t>الموارد البشرية</t>
  </si>
  <si>
    <t>رئيس قطاع الموارد البشرية</t>
  </si>
  <si>
    <t>أمن المعلومات</t>
  </si>
  <si>
    <t>مدير أول إدارة أمن المعلومات</t>
  </si>
  <si>
    <t>الحسابات</t>
  </si>
  <si>
    <t>مشرف المحاسبة</t>
  </si>
  <si>
    <t>مشرف حسابات</t>
  </si>
  <si>
    <t xml:space="preserve"> الدعاية و التسويق</t>
  </si>
  <si>
    <t>مشرف علاقات عامة</t>
  </si>
  <si>
    <t>تكنولوجيا المعلومات</t>
  </si>
  <si>
    <t>مصمم برمجيات</t>
  </si>
  <si>
    <t>العمليات المركزية</t>
  </si>
  <si>
    <t>مشرف أول عمليات</t>
  </si>
  <si>
    <t>مشرف عمليات</t>
  </si>
  <si>
    <t>الشئون الإدارية</t>
  </si>
  <si>
    <t>مشرف أول شئون إدارية</t>
  </si>
  <si>
    <t>مساعد شئون إدارية</t>
  </si>
  <si>
    <t>سائق</t>
  </si>
  <si>
    <t>مشرف تطوير الأعمال</t>
  </si>
  <si>
    <t>العمليات المالية</t>
  </si>
  <si>
    <t>مشرف العمليات المالية</t>
  </si>
  <si>
    <t>تحليلات المبيعات</t>
  </si>
  <si>
    <t xml:space="preserve">مشرف تحليلات المبيعات </t>
  </si>
  <si>
    <t>فنى صيانة POS</t>
  </si>
  <si>
    <t>أخصائي جودة نظم</t>
  </si>
  <si>
    <t>مشرف ادارة مشروعات</t>
  </si>
  <si>
    <t>رئيس قطاع الإدارة المالية</t>
  </si>
  <si>
    <t>أخصائي عمليات</t>
  </si>
  <si>
    <t>مدير تحليلات المبيعات  و العمليات المالية</t>
  </si>
  <si>
    <t>رئيس قطاع العمليات المركزية</t>
  </si>
  <si>
    <t>مدير عمليات المبيعات</t>
  </si>
  <si>
    <t>مدير تطوير الأعمال</t>
  </si>
  <si>
    <t xml:space="preserve">أخصائي أول الموارد البشرية </t>
  </si>
  <si>
    <t xml:space="preserve">أخصائي أول عمليات المبيعات </t>
  </si>
  <si>
    <t>أخصائي أول تسويق</t>
  </si>
  <si>
    <t>اخصائى  تسويق تجاري</t>
  </si>
  <si>
    <t>مدير أول تطوير الأعمال</t>
  </si>
  <si>
    <t>محاسب أول</t>
  </si>
  <si>
    <t>موظف إستقبال</t>
  </si>
  <si>
    <t>مطور أول برمجيات</t>
  </si>
  <si>
    <t>مشرف أول تطوير برمجيات</t>
  </si>
  <si>
    <t>مشرف أول جودة نظم</t>
  </si>
  <si>
    <t xml:space="preserve">أخصائي أول تحليل المبيعات </t>
  </si>
  <si>
    <t xml:space="preserve">أخصائي الموارد البشرية </t>
  </si>
  <si>
    <t>مطور برمجيات</t>
  </si>
  <si>
    <t>رئيس قطاع الدعاية والتسويق</t>
  </si>
  <si>
    <t xml:space="preserve">أخصائي اول عمليات </t>
  </si>
  <si>
    <t xml:space="preserve">أخصائي عمليات </t>
  </si>
  <si>
    <t>أخصائي العمليات المالية</t>
  </si>
  <si>
    <t>مشرف التوظيف</t>
  </si>
  <si>
    <t>محاسب</t>
  </si>
  <si>
    <t>موظف الحسابات</t>
  </si>
  <si>
    <t>أخصائي أول العمليات المالية</t>
  </si>
  <si>
    <t>مدير الرواتب وشئون العاملين</t>
  </si>
  <si>
    <t>اخصائى توظيف</t>
  </si>
  <si>
    <t>اخصائى عمليات مركزية</t>
  </si>
  <si>
    <t>اخصائي تسويق</t>
  </si>
  <si>
    <t>رئيس قطاع تكنولوجيا المعلومات</t>
  </si>
  <si>
    <t xml:space="preserve">اخصائى عمليات مركزية </t>
  </si>
  <si>
    <t>0</t>
  </si>
  <si>
    <t>6</t>
  </si>
  <si>
    <t>8</t>
  </si>
  <si>
    <t>3</t>
  </si>
  <si>
    <t>15</t>
  </si>
  <si>
    <t>4</t>
  </si>
  <si>
    <t>24</t>
  </si>
  <si>
    <t>2</t>
  </si>
  <si>
    <t>7</t>
  </si>
  <si>
    <t>HC</t>
  </si>
  <si>
    <t>actully w.d</t>
  </si>
  <si>
    <t>AVG DEPT actual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</si>
</sst>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3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" fillId="0" borderId="0">
      <alignment horizontal="right" vertical="top"/>
    </xf>
    <xf numFmtId="0" fontId="2" fillId="0" borderId="0">
      <alignment horizontal="left" vertical="top"/>
    </xf>
    <xf numFmtId="0" fontId="3" fillId="0" borderId="0">
      <alignment horizontal="justify" vertical="center"/>
    </xf>
    <xf numFmtId="0" fontId="4" fillId="0" borderId="0">
      <alignment horizontal="center" vertical="center"/>
    </xf>
    <xf numFmtId="0" fontId="2" fillId="0" borderId="0">
      <alignment horizontal="left" vertical="top"/>
    </xf>
    <xf numFmtId="0" fontId="2" fillId="0" borderId="0">
      <alignment horizontal="center" vertical="top"/>
    </xf>
    <xf numFmtId="0" fontId="3" fillId="0" borderId="0">
      <alignment horizontal="right" vertical="center"/>
    </xf>
    <xf numFmtId="0" fontId="5" fillId="2" borderId="0">
      <alignment horizontal="center" vertical="center"/>
    </xf>
    <xf numFmtId="0" fontId="5" fillId="2" borderId="0">
      <alignment horizontal="center" vertical="center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right" vertical="top"/>
    </xf>
    <xf numFmtId="0" fontId="5" fillId="2" borderId="0">
      <alignment horizontal="center" vertical="center"/>
    </xf>
    <xf numFmtId="0" fontId="5" fillId="2" borderId="0">
      <alignment horizontal="center" vertical="center"/>
    </xf>
    <xf numFmtId="0" fontId="7" fillId="0" borderId="0">
      <alignment horizontal="right" vertical="top"/>
    </xf>
    <xf numFmtId="0" fontId="1" fillId="0" borderId="0">
      <alignment horizontal="center" vertical="top"/>
    </xf>
    <xf numFmtId="0" fontId="1" fillId="2" borderId="0">
      <alignment horizontal="center" vertical="center"/>
    </xf>
    <xf numFmtId="0" fontId="1" fillId="2" borderId="0">
      <alignment horizontal="center" vertical="center"/>
    </xf>
    <xf numFmtId="0" fontId="1" fillId="2" borderId="0">
      <alignment horizontal="center" vertical="center"/>
    </xf>
    <xf numFmtId="0" fontId="2" fillId="2" borderId="0">
      <alignment horizontal="center" vertical="top"/>
    </xf>
    <xf numFmtId="0" fontId="2" fillId="2" borderId="0">
      <alignment horizontal="right" vertical="top"/>
    </xf>
    <xf numFmtId="0" fontId="2" fillId="0" borderId="0">
      <alignment horizontal="justify" vertical="top"/>
    </xf>
    <xf numFmtId="0" fontId="2" fillId="0" borderId="0">
      <alignment horizontal="right" vertical="top"/>
    </xf>
    <xf numFmtId="0" fontId="2" fillId="0" borderId="0">
      <alignment horizontal="justify" vertical="top"/>
    </xf>
    <xf numFmtId="0" fontId="7" fillId="0" borderId="0">
      <alignment horizontal="right" vertical="top"/>
    </xf>
    <xf numFmtId="0" fontId="1" fillId="0" borderId="0">
      <alignment horizontal="center" vertical="top"/>
    </xf>
    <xf numFmtId="0" fontId="2" fillId="0" borderId="0">
      <alignment horizontal="justify" vertical="center"/>
    </xf>
    <xf numFmtId="43" fontId="1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/>
    <xf numFmtId="0" fontId="0" fillId="0" borderId="0" xfId="0"/>
    <xf numFmtId="0" fontId="8" fillId="2" borderId="2" xfId="9" quotePrefix="1" applyFont="1" applyBorder="1" applyAlignment="1">
      <alignment horizontal="center" vertical="center" wrapText="1"/>
    </xf>
    <xf numFmtId="0" fontId="8" fillId="2" borderId="1" xfId="8" quotePrefix="1" applyFont="1" applyBorder="1" applyAlignment="1">
      <alignment horizontal="center" vertical="center" wrapText="1"/>
    </xf>
    <xf numFmtId="0" fontId="8" fillId="3" borderId="3" xfId="8" quotePrefix="1" applyFont="1" applyFill="1" applyBorder="1" applyAlignment="1">
      <alignment horizontal="center" vertical="center" wrapText="1"/>
    </xf>
    <xf numFmtId="0" fontId="8" fillId="4" borderId="2" xfId="8" quotePrefix="1" applyFont="1" applyFill="1" applyBorder="1" applyAlignment="1">
      <alignment horizontal="center" vertical="center" wrapText="1"/>
    </xf>
    <xf numFmtId="0" fontId="8" fillId="4" borderId="3" xfId="8" quotePrefix="1" applyFont="1" applyFill="1" applyBorder="1" applyAlignment="1">
      <alignment horizontal="center" vertical="center" wrapText="1"/>
    </xf>
    <xf numFmtId="0" fontId="8" fillId="2" borderId="7" xfId="8" quotePrefix="1" applyFont="1" applyBorder="1" applyAlignment="1">
      <alignment horizontal="center" vertical="center" wrapText="1"/>
    </xf>
    <xf numFmtId="0" fontId="8" fillId="5" borderId="3" xfId="8" quotePrefix="1" applyFont="1" applyFill="1" applyBorder="1" applyAlignment="1">
      <alignment horizontal="center" vertical="center" wrapText="1"/>
    </xf>
    <xf numFmtId="0" fontId="8" fillId="2" borderId="3" xfId="8" quotePrefix="1" applyFont="1" applyBorder="1" applyAlignment="1">
      <alignment horizontal="center" vertical="center" wrapText="1"/>
    </xf>
    <xf numFmtId="0" fontId="9" fillId="0" borderId="3" xfId="13" quotePrefix="1" applyFont="1" applyBorder="1" applyAlignment="1">
      <alignment horizontal="right" vertical="top" wrapText="1"/>
    </xf>
    <xf numFmtId="0" fontId="9" fillId="3" borderId="3" xfId="10" quotePrefix="1" applyNumberFormat="1" applyFont="1" applyFill="1" applyBorder="1" applyAlignment="1">
      <alignment horizontal="center" vertical="top" wrapText="1"/>
    </xf>
    <xf numFmtId="0" fontId="9" fillId="4" borderId="2" xfId="10" quotePrefix="1" applyFont="1" applyFill="1" applyBorder="1" applyAlignment="1">
      <alignment horizontal="center" vertical="top" wrapText="1"/>
    </xf>
    <xf numFmtId="0" fontId="9" fillId="4" borderId="3" xfId="10" quotePrefix="1" applyFont="1" applyFill="1" applyBorder="1" applyAlignment="1">
      <alignment horizontal="center" vertical="top" wrapText="1"/>
    </xf>
    <xf numFmtId="0" fontId="9" fillId="4" borderId="3" xfId="10" quotePrefix="1" applyNumberFormat="1" applyFont="1" applyFill="1" applyBorder="1" applyAlignment="1">
      <alignment horizontal="center" vertical="top" wrapText="1"/>
    </xf>
    <xf numFmtId="0" fontId="9" fillId="4" borderId="2" xfId="10" quotePrefix="1" applyNumberFormat="1" applyFont="1" applyFill="1" applyBorder="1" applyAlignment="1">
      <alignment horizontal="center" vertical="top" wrapText="1"/>
    </xf>
    <xf numFmtId="0" fontId="9" fillId="0" borderId="7" xfId="10" quotePrefix="1" applyFont="1" applyBorder="1" applyAlignment="1">
      <alignment horizontal="center" vertical="top" wrapText="1"/>
    </xf>
    <xf numFmtId="0" fontId="9" fillId="5" borderId="7" xfId="10" quotePrefix="1" applyFont="1" applyFill="1" applyBorder="1" applyAlignment="1">
      <alignment horizontal="center" vertical="top" wrapText="1"/>
    </xf>
    <xf numFmtId="0" fontId="9" fillId="0" borderId="7" xfId="13" quotePrefix="1" applyFont="1" applyBorder="1" applyAlignment="1">
      <alignment horizontal="right" vertical="top" wrapText="1"/>
    </xf>
    <xf numFmtId="0" fontId="9" fillId="0" borderId="7" xfId="12" quotePrefix="1" applyNumberFormat="1" applyFont="1" applyBorder="1" applyAlignment="1">
      <alignment horizontal="center" vertical="top" wrapText="1"/>
    </xf>
    <xf numFmtId="0" fontId="9" fillId="0" borderId="6" xfId="13" quotePrefix="1" applyFont="1" applyBorder="1" applyAlignment="1">
      <alignment horizontal="right" vertical="top" wrapText="1"/>
    </xf>
    <xf numFmtId="0" fontId="9" fillId="3" borderId="5" xfId="10" quotePrefix="1" applyNumberFormat="1" applyFont="1" applyFill="1" applyBorder="1" applyAlignment="1">
      <alignment horizontal="center" vertical="top" wrapText="1"/>
    </xf>
    <xf numFmtId="0" fontId="9" fillId="4" borderId="5" xfId="10" quotePrefix="1" applyFont="1" applyFill="1" applyBorder="1" applyAlignment="1">
      <alignment horizontal="center" vertical="top" wrapText="1"/>
    </xf>
    <xf numFmtId="0" fontId="9" fillId="4" borderId="5" xfId="10" quotePrefix="1" applyNumberFormat="1" applyFont="1" applyFill="1" applyBorder="1" applyAlignment="1">
      <alignment horizontal="center" vertical="top" wrapText="1"/>
    </xf>
    <xf numFmtId="0" fontId="9" fillId="0" borderId="3" xfId="12" quotePrefix="1" applyNumberFormat="1" applyFont="1" applyBorder="1" applyAlignment="1">
      <alignment horizontal="center" vertical="top" wrapText="1"/>
    </xf>
    <xf numFmtId="0" fontId="9" fillId="0" borderId="5" xfId="13" quotePrefix="1" applyFont="1" applyBorder="1" applyAlignment="1">
      <alignment horizontal="right" vertical="top" wrapText="1"/>
    </xf>
    <xf numFmtId="0" fontId="9" fillId="4" borderId="7" xfId="10" quotePrefix="1" applyNumberFormat="1" applyFont="1" applyFill="1" applyBorder="1" applyAlignment="1">
      <alignment horizontal="center" vertical="top" wrapText="1"/>
    </xf>
    <xf numFmtId="0" fontId="9" fillId="3" borderId="2" xfId="10" quotePrefix="1" applyNumberFormat="1" applyFont="1" applyFill="1" applyBorder="1" applyAlignment="1">
      <alignment horizontal="center" vertical="top" wrapText="1"/>
    </xf>
    <xf numFmtId="0" fontId="9" fillId="0" borderId="4" xfId="13" quotePrefix="1" applyFont="1" applyBorder="1" applyAlignment="1">
      <alignment horizontal="right" vertical="top" wrapText="1"/>
    </xf>
    <xf numFmtId="0" fontId="9" fillId="3" borderId="4" xfId="10" quotePrefix="1" applyNumberFormat="1" applyFont="1" applyFill="1" applyBorder="1" applyAlignment="1">
      <alignment horizontal="center" vertical="top" wrapText="1"/>
    </xf>
    <xf numFmtId="0" fontId="9" fillId="4" borderId="4" xfId="10" quotePrefix="1" applyFont="1" applyFill="1" applyBorder="1" applyAlignment="1">
      <alignment horizontal="center" vertical="top" wrapText="1"/>
    </xf>
    <xf numFmtId="0" fontId="10" fillId="0" borderId="0" xfId="0" applyFont="1"/>
    <xf numFmtId="43" fontId="0" fillId="0" borderId="0" xfId="0" applyNumberFormat="1"/>
    <xf numFmtId="0" fontId="10" fillId="6" borderId="8" xfId="0" applyFont="1" applyFill="1" applyBorder="1" applyAlignment="1">
      <alignment horizontal="center" vertical="center"/>
    </xf>
    <xf numFmtId="0" fontId="9" fillId="0" borderId="8" xfId="13" quotePrefix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3" fontId="0" fillId="0" borderId="8" xfId="29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0">
    <cellStyle name="Comma" xfId="29" builtinId="3"/>
    <cellStyle name="Normal" xfId="0" builtinId="0"/>
    <cellStyle name="S0" xfId="1" xr:uid="{8A2188EB-6E63-4E83-8F2B-77A00AF905B0}"/>
    <cellStyle name="S1" xfId="2" xr:uid="{CBC192CD-B859-402E-A5E0-6DA4D7123BC2}"/>
    <cellStyle name="S10" xfId="11" xr:uid="{6A834152-8D70-46E6-835C-300BD8A0DC79}"/>
    <cellStyle name="S10 2" xfId="22" xr:uid="{5DC67C87-601C-44C9-840A-4E83F6F96ED5}"/>
    <cellStyle name="S11" xfId="12" xr:uid="{21B49985-40FF-4C5E-9D02-311738D949E6}"/>
    <cellStyle name="S11 2" xfId="23" xr:uid="{371C082A-C7D6-41C9-B9FC-6DCA6996958B}"/>
    <cellStyle name="S12" xfId="13" xr:uid="{7C3981E1-A394-46E9-9358-1458EC968602}"/>
    <cellStyle name="S12 2" xfId="24" xr:uid="{38ED439F-D223-4F60-A1C9-1AB51DFCCE2E}"/>
    <cellStyle name="S13" xfId="14" xr:uid="{B86E1164-0607-4E32-89E1-9A7152F22F68}"/>
    <cellStyle name="S13 2" xfId="25" xr:uid="{90CADEF0-9CB3-42B4-AB8F-74A7A9E84EB7}"/>
    <cellStyle name="S14" xfId="15" xr:uid="{F1874C9F-EAE7-420B-87D7-D831C57BE72D}"/>
    <cellStyle name="S14 2" xfId="26" xr:uid="{853C041E-CEA1-4FCC-9AAD-66AEEEEBF03E}"/>
    <cellStyle name="S15" xfId="16" xr:uid="{4B9833AD-1905-4715-9403-E6890D98D4BC}"/>
    <cellStyle name="S15 2" xfId="27" xr:uid="{BBE96E4D-97A1-4DCC-8838-FF17C34C9E3E}"/>
    <cellStyle name="S16" xfId="17" xr:uid="{7C856222-0917-4EA3-8C98-61EEFF8D1C27}"/>
    <cellStyle name="S16 2" xfId="28" xr:uid="{D9859DB7-9D8B-4639-ABFF-490D76F751C1}"/>
    <cellStyle name="S2" xfId="3" xr:uid="{99C54402-A0DA-4872-B452-3931BB0B3402}"/>
    <cellStyle name="S3" xfId="4" xr:uid="{9DF5801E-1EF3-49A9-97B6-58EEB28B3166}"/>
    <cellStyle name="S4" xfId="5" xr:uid="{3AC023F1-933F-4B4E-8FBE-7F6B0E5205C9}"/>
    <cellStyle name="S5" xfId="6" xr:uid="{DDA5A71B-97F9-4F81-A636-1F7960A35B1B}"/>
    <cellStyle name="S6" xfId="7" xr:uid="{7569DB7F-2EB9-4A61-9C9F-F3123EFC137A}"/>
    <cellStyle name="S6 2" xfId="18" xr:uid="{20B92470-C5C2-4A95-A65E-71A89634B2A1}"/>
    <cellStyle name="S7" xfId="8" xr:uid="{0CFB2FE8-7897-4359-B8E7-B5BD787C9E6C}"/>
    <cellStyle name="S7 2" xfId="19" xr:uid="{587CA6D2-33DB-4B12-B810-D6891D5AE27A}"/>
    <cellStyle name="S8" xfId="9" xr:uid="{79F954D4-BDE4-4020-BBAF-122ABF3619F3}"/>
    <cellStyle name="S8 2" xfId="20" xr:uid="{0A61938A-BBF2-43EA-AC72-B13024AD542C}"/>
    <cellStyle name="S9" xfId="10" xr:uid="{1DAE12EF-4E64-4093-9D39-F3014F0A8BA3}"/>
    <cellStyle name="S9 2" xfId="21" xr:uid="{2038E927-AF48-4C4A-89AE-94C073CBC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102C-322E-4741-9459-33A40888AEF7}">
  <dimension ref="A1:W83"/>
  <sheetViews>
    <sheetView tabSelected="1" topLeftCell="C1" workbookViewId="0">
      <pane ySplit="1" topLeftCell="A2" activePane="bottomLeft" state="frozen"/>
      <selection pane="bottomLeft" activeCell="T1" sqref="T1:W1"/>
    </sheetView>
  </sheetViews>
  <sheetFormatPr defaultColWidth="8.85546875" defaultRowHeight="15.75" customHeight="1" outlineLevelCol="1" x14ac:dyDescent="0.25"/>
  <cols>
    <col min="1" max="1" width="8.85546875" customWidth="1"/>
    <col min="2" max="2" width="24.5703125" customWidth="1"/>
    <col min="3" max="4" width="24.5703125" style="2" customWidth="1"/>
    <col min="5" max="5" width="11.85546875" customWidth="1"/>
    <col min="6" max="6" width="18.28515625" customWidth="1"/>
    <col min="7" max="7" width="13.42578125" customWidth="1"/>
    <col min="8" max="8" width="9.85546875" customWidth="1"/>
    <col min="10" max="13" width="8.85546875" style="1" outlineLevel="1"/>
    <col min="14" max="14" width="10.7109375" customWidth="1"/>
    <col min="15" max="17" width="8.85546875" style="2" outlineLevel="1"/>
    <col min="18" max="18" width="11.140625" style="2" customWidth="1"/>
    <col min="20" max="20" width="15.5703125" bestFit="1" customWidth="1"/>
  </cols>
  <sheetData>
    <row r="1" spans="1:23" s="32" customFormat="1" ht="26.25" customHeight="1" x14ac:dyDescent="0.2">
      <c r="A1" s="3" t="s">
        <v>271</v>
      </c>
      <c r="B1" s="4" t="s">
        <v>272</v>
      </c>
      <c r="C1" s="4" t="s">
        <v>262</v>
      </c>
      <c r="D1" s="4" t="s">
        <v>263</v>
      </c>
      <c r="E1" s="5" t="s">
        <v>82</v>
      </c>
      <c r="F1" s="6" t="s">
        <v>83</v>
      </c>
      <c r="G1" s="7" t="s">
        <v>84</v>
      </c>
      <c r="H1" s="7" t="s">
        <v>213</v>
      </c>
      <c r="I1" s="6" t="s">
        <v>214</v>
      </c>
      <c r="J1" s="8" t="s">
        <v>264</v>
      </c>
      <c r="K1" s="8" t="s">
        <v>261</v>
      </c>
      <c r="L1" s="8" t="s">
        <v>265</v>
      </c>
      <c r="M1" s="8" t="s">
        <v>266</v>
      </c>
      <c r="N1" s="9" t="s">
        <v>260</v>
      </c>
      <c r="O1" s="10" t="s">
        <v>267</v>
      </c>
      <c r="P1" s="10" t="s">
        <v>268</v>
      </c>
      <c r="Q1" s="10" t="s">
        <v>269</v>
      </c>
      <c r="R1" s="9" t="s">
        <v>270</v>
      </c>
      <c r="T1" s="38" t="s">
        <v>350</v>
      </c>
      <c r="U1" s="38"/>
      <c r="V1" s="38"/>
      <c r="W1" s="38"/>
    </row>
    <row r="2" spans="1:23" ht="15.75" customHeight="1" x14ac:dyDescent="0.25">
      <c r="A2" s="20">
        <v>1494</v>
      </c>
      <c r="B2" s="21" t="s">
        <v>54</v>
      </c>
      <c r="C2" s="21" t="s">
        <v>291</v>
      </c>
      <c r="D2" s="21" t="s">
        <v>326</v>
      </c>
      <c r="E2" s="22">
        <v>55</v>
      </c>
      <c r="F2" s="14" t="s">
        <v>180</v>
      </c>
      <c r="G2" s="23" t="s">
        <v>125</v>
      </c>
      <c r="H2" s="24">
        <v>1</v>
      </c>
      <c r="I2" s="14" t="s">
        <v>248</v>
      </c>
      <c r="J2" s="17">
        <v>7</v>
      </c>
      <c r="K2" s="17" t="s">
        <v>339</v>
      </c>
      <c r="L2" s="17" t="s">
        <v>340</v>
      </c>
      <c r="M2" s="17" t="s">
        <v>339</v>
      </c>
      <c r="N2" s="18">
        <f>M2+L2+K2+J2</f>
        <v>13</v>
      </c>
      <c r="O2" s="17">
        <v>13</v>
      </c>
      <c r="P2" s="17">
        <v>7</v>
      </c>
      <c r="Q2" s="17">
        <v>22</v>
      </c>
      <c r="R2" s="18">
        <v>42</v>
      </c>
      <c r="S2" s="2"/>
      <c r="T2" s="34" t="s">
        <v>262</v>
      </c>
      <c r="U2" s="34" t="s">
        <v>348</v>
      </c>
      <c r="V2" s="34" t="s">
        <v>349</v>
      </c>
      <c r="W2" s="34"/>
    </row>
    <row r="3" spans="1:23" ht="15.75" customHeight="1" x14ac:dyDescent="0.25">
      <c r="A3" s="20">
        <v>1813</v>
      </c>
      <c r="B3" s="21" t="s">
        <v>75</v>
      </c>
      <c r="C3" s="21" t="s">
        <v>291</v>
      </c>
      <c r="D3" s="21" t="s">
        <v>335</v>
      </c>
      <c r="E3" s="22">
        <v>69</v>
      </c>
      <c r="F3" s="14" t="s">
        <v>203</v>
      </c>
      <c r="G3" s="23" t="s">
        <v>204</v>
      </c>
      <c r="H3" s="24">
        <v>1</v>
      </c>
      <c r="I3" s="14" t="s">
        <v>111</v>
      </c>
      <c r="J3" s="17">
        <v>2</v>
      </c>
      <c r="K3" s="17" t="s">
        <v>339</v>
      </c>
      <c r="L3" s="17" t="s">
        <v>340</v>
      </c>
      <c r="M3" s="17" t="s">
        <v>339</v>
      </c>
      <c r="N3" s="18">
        <f>M3+L3+K3+J3</f>
        <v>8</v>
      </c>
      <c r="O3" s="17">
        <v>13</v>
      </c>
      <c r="P3" s="17">
        <v>7</v>
      </c>
      <c r="Q3" s="17">
        <v>3</v>
      </c>
      <c r="R3" s="18">
        <v>23</v>
      </c>
      <c r="S3" s="2"/>
      <c r="T3" s="35" t="s">
        <v>289</v>
      </c>
      <c r="U3" s="36">
        <f>COUNTIF(C:C,T3)</f>
        <v>17</v>
      </c>
      <c r="V3" s="36">
        <f>SUMIF(C:C,T3,E:E)</f>
        <v>1001</v>
      </c>
      <c r="W3" s="37">
        <f>V3/U3</f>
        <v>58.882352941176471</v>
      </c>
    </row>
    <row r="4" spans="1:23" ht="15.75" customHeight="1" x14ac:dyDescent="0.25">
      <c r="A4" s="20">
        <v>1904</v>
      </c>
      <c r="B4" s="21" t="s">
        <v>80</v>
      </c>
      <c r="C4" s="21" t="s">
        <v>289</v>
      </c>
      <c r="D4" s="21" t="s">
        <v>337</v>
      </c>
      <c r="E4" s="22">
        <v>23</v>
      </c>
      <c r="F4" s="14" t="s">
        <v>124</v>
      </c>
      <c r="G4" s="23" t="s">
        <v>111</v>
      </c>
      <c r="H4" s="24">
        <v>8</v>
      </c>
      <c r="I4" s="14" t="s">
        <v>259</v>
      </c>
      <c r="J4" s="17">
        <v>7</v>
      </c>
      <c r="K4" s="17" t="s">
        <v>339</v>
      </c>
      <c r="L4" s="17" t="s">
        <v>340</v>
      </c>
      <c r="M4" s="17" t="s">
        <v>339</v>
      </c>
      <c r="N4" s="18">
        <f>M4+L4+K4+J4</f>
        <v>13</v>
      </c>
      <c r="O4" s="17">
        <v>6.83</v>
      </c>
      <c r="P4" s="17">
        <v>6.41</v>
      </c>
      <c r="Q4" s="17">
        <v>0</v>
      </c>
      <c r="R4" s="18">
        <v>13.24</v>
      </c>
      <c r="S4" s="2"/>
      <c r="T4" s="35" t="s">
        <v>291</v>
      </c>
      <c r="U4" s="36">
        <f>COUNTIF(C:C,T4)</f>
        <v>14</v>
      </c>
      <c r="V4" s="36">
        <f>SUMIF(C:C,T4,E:E)</f>
        <v>811</v>
      </c>
      <c r="W4" s="37">
        <f t="shared" ref="W4:W13" si="0">V4/U4</f>
        <v>57.928571428571431</v>
      </c>
    </row>
    <row r="5" spans="1:23" ht="15.75" customHeight="1" x14ac:dyDescent="0.25">
      <c r="A5" s="25">
        <v>1944</v>
      </c>
      <c r="B5" s="21" t="s">
        <v>81</v>
      </c>
      <c r="C5" s="21" t="s">
        <v>291</v>
      </c>
      <c r="D5" s="21" t="s">
        <v>338</v>
      </c>
      <c r="E5" s="22">
        <v>15</v>
      </c>
      <c r="F5" s="14" t="s">
        <v>138</v>
      </c>
      <c r="G5" s="23" t="s">
        <v>212</v>
      </c>
      <c r="H5" s="24">
        <v>0</v>
      </c>
      <c r="I5" s="14" t="s">
        <v>249</v>
      </c>
      <c r="J5" s="17">
        <v>0</v>
      </c>
      <c r="K5" s="17" t="s">
        <v>339</v>
      </c>
      <c r="L5" s="17" t="s">
        <v>340</v>
      </c>
      <c r="M5" s="17" t="s">
        <v>339</v>
      </c>
      <c r="N5" s="18">
        <f>M5+L5+K5+J5</f>
        <v>6</v>
      </c>
      <c r="O5" s="17">
        <v>0</v>
      </c>
      <c r="P5" s="17">
        <v>0</v>
      </c>
      <c r="Q5" s="17">
        <v>0</v>
      </c>
      <c r="R5" s="18">
        <v>0</v>
      </c>
      <c r="S5" s="2"/>
      <c r="T5" s="35" t="s">
        <v>301</v>
      </c>
      <c r="U5" s="36">
        <f>COUNTIF(C:C,T5)</f>
        <v>3</v>
      </c>
      <c r="V5" s="36">
        <f>SUMIF(C:C,T5,E:E)</f>
        <v>180</v>
      </c>
      <c r="W5" s="37">
        <f t="shared" si="0"/>
        <v>60</v>
      </c>
    </row>
    <row r="6" spans="1:23" ht="15.75" customHeight="1" x14ac:dyDescent="0.25">
      <c r="A6" s="20">
        <v>1188</v>
      </c>
      <c r="B6" s="19" t="s">
        <v>46</v>
      </c>
      <c r="C6" s="19" t="s">
        <v>301</v>
      </c>
      <c r="D6" s="19" t="s">
        <v>322</v>
      </c>
      <c r="E6" s="12">
        <v>57</v>
      </c>
      <c r="F6" s="14" t="s">
        <v>166</v>
      </c>
      <c r="G6" s="14" t="s">
        <v>111</v>
      </c>
      <c r="H6" s="15">
        <v>0</v>
      </c>
      <c r="I6" s="14" t="s">
        <v>244</v>
      </c>
      <c r="J6" s="17">
        <v>2</v>
      </c>
      <c r="K6" s="17" t="s">
        <v>339</v>
      </c>
      <c r="L6" s="17" t="s">
        <v>340</v>
      </c>
      <c r="M6" s="17" t="s">
        <v>339</v>
      </c>
      <c r="N6" s="18">
        <f>M6+L6+K6+J6</f>
        <v>8</v>
      </c>
      <c r="O6" s="17">
        <v>13</v>
      </c>
      <c r="P6" s="17">
        <v>7</v>
      </c>
      <c r="Q6" s="17">
        <v>26</v>
      </c>
      <c r="R6" s="18">
        <v>46</v>
      </c>
      <c r="S6" s="2"/>
      <c r="T6" s="35" t="s">
        <v>276</v>
      </c>
      <c r="U6" s="36">
        <f>COUNTIF(C:C,T6)</f>
        <v>9</v>
      </c>
      <c r="V6" s="36">
        <f>SUMIF(C:C,T6,E:E)</f>
        <v>529</v>
      </c>
      <c r="W6" s="37">
        <f t="shared" si="0"/>
        <v>58.777777777777779</v>
      </c>
    </row>
    <row r="7" spans="1:23" ht="15.75" customHeight="1" x14ac:dyDescent="0.25">
      <c r="A7" s="20">
        <v>502</v>
      </c>
      <c r="B7" s="19" t="s">
        <v>32</v>
      </c>
      <c r="C7" s="19" t="s">
        <v>276</v>
      </c>
      <c r="D7" s="19" t="s">
        <v>311</v>
      </c>
      <c r="E7" s="12">
        <v>67</v>
      </c>
      <c r="F7" s="14" t="s">
        <v>143</v>
      </c>
      <c r="G7" s="14" t="s">
        <v>144</v>
      </c>
      <c r="H7" s="15">
        <v>0</v>
      </c>
      <c r="I7" s="14" t="s">
        <v>161</v>
      </c>
      <c r="J7" s="17">
        <v>2</v>
      </c>
      <c r="K7" s="17" t="s">
        <v>339</v>
      </c>
      <c r="L7" s="17" t="s">
        <v>340</v>
      </c>
      <c r="M7" s="17" t="s">
        <v>339</v>
      </c>
      <c r="N7" s="18">
        <f>M7+L7+K7+J7</f>
        <v>8</v>
      </c>
      <c r="O7" s="17">
        <v>22</v>
      </c>
      <c r="P7" s="17">
        <v>7</v>
      </c>
      <c r="Q7" s="17">
        <v>30</v>
      </c>
      <c r="R7" s="18">
        <v>59</v>
      </c>
      <c r="S7" s="2"/>
      <c r="T7" s="35" t="s">
        <v>287</v>
      </c>
      <c r="U7" s="36">
        <f>COUNTIF(C:C,T7)</f>
        <v>5</v>
      </c>
      <c r="V7" s="36">
        <f>SUMIF(C:C,T7,E:E)</f>
        <v>256</v>
      </c>
      <c r="W7" s="37">
        <f t="shared" si="0"/>
        <v>51.2</v>
      </c>
    </row>
    <row r="8" spans="1:23" ht="15.75" customHeight="1" x14ac:dyDescent="0.25">
      <c r="A8" s="25">
        <v>1166</v>
      </c>
      <c r="B8" s="19" t="s">
        <v>44</v>
      </c>
      <c r="C8" s="19" t="s">
        <v>289</v>
      </c>
      <c r="D8" s="19" t="s">
        <v>321</v>
      </c>
      <c r="E8" s="12">
        <v>62</v>
      </c>
      <c r="F8" s="14" t="s">
        <v>163</v>
      </c>
      <c r="G8" s="14" t="s">
        <v>111</v>
      </c>
      <c r="H8" s="15">
        <v>0</v>
      </c>
      <c r="I8" s="14" t="s">
        <v>242</v>
      </c>
      <c r="J8" s="17">
        <v>2</v>
      </c>
      <c r="K8" s="17" t="s">
        <v>339</v>
      </c>
      <c r="L8" s="17" t="s">
        <v>340</v>
      </c>
      <c r="M8" s="17" t="s">
        <v>339</v>
      </c>
      <c r="N8" s="18">
        <f>M8+L8+K8+J8</f>
        <v>8</v>
      </c>
      <c r="O8" s="17">
        <v>13</v>
      </c>
      <c r="P8" s="17">
        <v>7</v>
      </c>
      <c r="Q8" s="17">
        <v>22</v>
      </c>
      <c r="R8" s="18">
        <v>42</v>
      </c>
      <c r="S8" s="2"/>
      <c r="T8" s="35" t="s">
        <v>284</v>
      </c>
      <c r="U8" s="36">
        <f>COUNTIF(C:C,T8)</f>
        <v>8</v>
      </c>
      <c r="V8" s="36">
        <f>SUMIF(C:C,T8,E:E)</f>
        <v>477</v>
      </c>
      <c r="W8" s="37">
        <f t="shared" si="0"/>
        <v>59.625</v>
      </c>
    </row>
    <row r="9" spans="1:23" ht="15.75" customHeight="1" x14ac:dyDescent="0.25">
      <c r="A9" s="25">
        <v>1894</v>
      </c>
      <c r="B9" s="21" t="s">
        <v>77</v>
      </c>
      <c r="C9" s="21" t="s">
        <v>289</v>
      </c>
      <c r="D9" s="21" t="s">
        <v>324</v>
      </c>
      <c r="E9" s="12">
        <v>61</v>
      </c>
      <c r="F9" s="14" t="s">
        <v>207</v>
      </c>
      <c r="G9" s="14" t="s">
        <v>208</v>
      </c>
      <c r="H9" s="15">
        <v>1</v>
      </c>
      <c r="I9" s="14" t="s">
        <v>171</v>
      </c>
      <c r="J9" s="17">
        <v>4</v>
      </c>
      <c r="K9" s="17" t="s">
        <v>339</v>
      </c>
      <c r="L9" s="17" t="s">
        <v>340</v>
      </c>
      <c r="M9" s="17" t="s">
        <v>339</v>
      </c>
      <c r="N9" s="18">
        <f>M9+L9+K9+J9</f>
        <v>10</v>
      </c>
      <c r="O9" s="17">
        <v>12</v>
      </c>
      <c r="P9" s="17">
        <v>6</v>
      </c>
      <c r="Q9" s="17">
        <v>0</v>
      </c>
      <c r="R9" s="18">
        <v>18</v>
      </c>
      <c r="S9" s="2"/>
      <c r="T9" s="35" t="s">
        <v>294</v>
      </c>
      <c r="U9" s="36">
        <f>COUNTIF(C:C,T9)</f>
        <v>9</v>
      </c>
      <c r="V9" s="36">
        <f>SUMIF(C:C,T9,E:E)</f>
        <v>525</v>
      </c>
      <c r="W9" s="37">
        <f t="shared" si="0"/>
        <v>58.333333333333336</v>
      </c>
    </row>
    <row r="10" spans="1:23" ht="15.75" customHeight="1" x14ac:dyDescent="0.25">
      <c r="A10" s="20">
        <v>256</v>
      </c>
      <c r="B10" s="21" t="s">
        <v>19</v>
      </c>
      <c r="C10" s="21" t="s">
        <v>276</v>
      </c>
      <c r="D10" s="21" t="s">
        <v>298</v>
      </c>
      <c r="E10" s="12">
        <v>53</v>
      </c>
      <c r="F10" s="23" t="s">
        <v>120</v>
      </c>
      <c r="G10" s="14" t="s">
        <v>121</v>
      </c>
      <c r="H10" s="15">
        <v>0</v>
      </c>
      <c r="I10" s="23" t="s">
        <v>227</v>
      </c>
      <c r="J10" s="17">
        <v>8</v>
      </c>
      <c r="K10" s="17" t="s">
        <v>339</v>
      </c>
      <c r="L10" s="17" t="s">
        <v>340</v>
      </c>
      <c r="M10" s="17" t="s">
        <v>339</v>
      </c>
      <c r="N10" s="18">
        <f>M10+L10+K10+J10</f>
        <v>14</v>
      </c>
      <c r="O10" s="17">
        <v>13</v>
      </c>
      <c r="P10" s="17">
        <v>7</v>
      </c>
      <c r="Q10" s="17">
        <v>15</v>
      </c>
      <c r="R10" s="18">
        <v>35</v>
      </c>
      <c r="S10" s="2"/>
      <c r="T10" s="35" t="s">
        <v>280</v>
      </c>
      <c r="U10" s="36">
        <f>COUNTIF(C:C,T10)</f>
        <v>7</v>
      </c>
      <c r="V10" s="36">
        <f>SUMIF(C:C,T10,E:E)</f>
        <v>375</v>
      </c>
      <c r="W10" s="37">
        <f t="shared" si="0"/>
        <v>53.571428571428569</v>
      </c>
    </row>
    <row r="11" spans="1:23" ht="15.75" customHeight="1" x14ac:dyDescent="0.25">
      <c r="A11" s="25">
        <v>279</v>
      </c>
      <c r="B11" s="21" t="s">
        <v>22</v>
      </c>
      <c r="C11" s="21" t="s">
        <v>291</v>
      </c>
      <c r="D11" s="21" t="s">
        <v>303</v>
      </c>
      <c r="E11" s="12">
        <v>48</v>
      </c>
      <c r="F11" s="23" t="s">
        <v>126</v>
      </c>
      <c r="G11" s="14" t="s">
        <v>111</v>
      </c>
      <c r="H11" s="15">
        <v>5</v>
      </c>
      <c r="I11" s="23" t="s">
        <v>111</v>
      </c>
      <c r="J11" s="17">
        <v>16</v>
      </c>
      <c r="K11" s="17" t="s">
        <v>339</v>
      </c>
      <c r="L11" s="17" t="s">
        <v>340</v>
      </c>
      <c r="M11" s="17" t="s">
        <v>339</v>
      </c>
      <c r="N11" s="18">
        <f>M11+L11+K11+J11</f>
        <v>22</v>
      </c>
      <c r="O11" s="17">
        <v>2</v>
      </c>
      <c r="P11" s="17">
        <v>7</v>
      </c>
      <c r="Q11" s="17">
        <v>0</v>
      </c>
      <c r="R11" s="18">
        <v>9</v>
      </c>
      <c r="S11" s="2"/>
      <c r="T11" s="35" t="s">
        <v>299</v>
      </c>
      <c r="U11" s="36">
        <f>COUNTIF(C:C,T11)</f>
        <v>5</v>
      </c>
      <c r="V11" s="36">
        <f>SUMIF(C:C,T11,E:E)</f>
        <v>300</v>
      </c>
      <c r="W11" s="37">
        <f t="shared" si="0"/>
        <v>60</v>
      </c>
    </row>
    <row r="12" spans="1:23" ht="15.75" customHeight="1" x14ac:dyDescent="0.25">
      <c r="A12" s="20">
        <v>640</v>
      </c>
      <c r="B12" s="21" t="s">
        <v>37</v>
      </c>
      <c r="C12" s="21" t="s">
        <v>287</v>
      </c>
      <c r="D12" s="21" t="s">
        <v>315</v>
      </c>
      <c r="E12" s="12">
        <v>40</v>
      </c>
      <c r="F12" s="23" t="s">
        <v>151</v>
      </c>
      <c r="G12" s="14" t="s">
        <v>152</v>
      </c>
      <c r="H12" s="15">
        <v>0</v>
      </c>
      <c r="I12" s="23" t="s">
        <v>216</v>
      </c>
      <c r="J12" s="17">
        <v>10</v>
      </c>
      <c r="K12" s="17" t="s">
        <v>339</v>
      </c>
      <c r="L12" s="17" t="s">
        <v>341</v>
      </c>
      <c r="M12" s="17" t="s">
        <v>339</v>
      </c>
      <c r="N12" s="18">
        <f>M12+L12+K12+J12</f>
        <v>18</v>
      </c>
      <c r="O12" s="17">
        <v>13</v>
      </c>
      <c r="P12" s="17">
        <v>7</v>
      </c>
      <c r="Q12" s="17">
        <v>19</v>
      </c>
      <c r="R12" s="18">
        <v>39</v>
      </c>
      <c r="S12" s="2"/>
      <c r="T12" s="35" t="s">
        <v>282</v>
      </c>
      <c r="U12" s="36">
        <f>COUNTIF(C:C,T12)</f>
        <v>1</v>
      </c>
      <c r="V12" s="36">
        <f>SUMIF(C:C,T12,E:E)</f>
        <v>61</v>
      </c>
      <c r="W12" s="37">
        <f t="shared" si="0"/>
        <v>61</v>
      </c>
    </row>
    <row r="13" spans="1:23" ht="15.75" customHeight="1" x14ac:dyDescent="0.25">
      <c r="A13" s="25">
        <v>1482</v>
      </c>
      <c r="B13" s="21" t="s">
        <v>51</v>
      </c>
      <c r="C13" s="21" t="s">
        <v>291</v>
      </c>
      <c r="D13" s="21" t="s">
        <v>327</v>
      </c>
      <c r="E13" s="12">
        <v>58</v>
      </c>
      <c r="F13" s="23" t="s">
        <v>175</v>
      </c>
      <c r="G13" s="14" t="s">
        <v>176</v>
      </c>
      <c r="H13" s="15">
        <v>1</v>
      </c>
      <c r="I13" s="23" t="s">
        <v>111</v>
      </c>
      <c r="J13" s="17">
        <v>4</v>
      </c>
      <c r="K13" s="17" t="s">
        <v>339</v>
      </c>
      <c r="L13" s="17" t="s">
        <v>341</v>
      </c>
      <c r="M13" s="17" t="s">
        <v>339</v>
      </c>
      <c r="N13" s="18">
        <f>M13+L13+K13+J13</f>
        <v>12</v>
      </c>
      <c r="O13" s="17">
        <v>13</v>
      </c>
      <c r="P13" s="17">
        <v>7</v>
      </c>
      <c r="Q13" s="17">
        <v>20</v>
      </c>
      <c r="R13" s="18">
        <v>40</v>
      </c>
      <c r="S13" s="2"/>
      <c r="T13" s="35" t="s">
        <v>273</v>
      </c>
      <c r="U13" s="36">
        <f>COUNTIF(C:C,T13)</f>
        <v>4</v>
      </c>
      <c r="V13" s="36">
        <f>SUMIF(C:C,T13,E:E)</f>
        <v>250</v>
      </c>
      <c r="W13" s="37">
        <f t="shared" si="0"/>
        <v>62.5</v>
      </c>
    </row>
    <row r="14" spans="1:23" ht="15.75" customHeight="1" x14ac:dyDescent="0.25">
      <c r="A14" s="20">
        <v>1596</v>
      </c>
      <c r="B14" s="21" t="s">
        <v>60</v>
      </c>
      <c r="C14" s="21" t="s">
        <v>284</v>
      </c>
      <c r="D14" s="21" t="s">
        <v>331</v>
      </c>
      <c r="E14" s="12">
        <v>57</v>
      </c>
      <c r="F14" s="23" t="s">
        <v>190</v>
      </c>
      <c r="G14" s="14" t="s">
        <v>191</v>
      </c>
      <c r="H14" s="15">
        <v>30</v>
      </c>
      <c r="I14" s="23" t="s">
        <v>252</v>
      </c>
      <c r="J14" s="17">
        <v>7</v>
      </c>
      <c r="K14" s="17" t="s">
        <v>339</v>
      </c>
      <c r="L14" s="17" t="s">
        <v>340</v>
      </c>
      <c r="M14" s="17" t="s">
        <v>339</v>
      </c>
      <c r="N14" s="18">
        <f>M14+L14+K14+J14</f>
        <v>13</v>
      </c>
      <c r="O14" s="17">
        <v>5</v>
      </c>
      <c r="P14" s="17">
        <v>7</v>
      </c>
      <c r="Q14" s="17">
        <v>0</v>
      </c>
      <c r="R14" s="18">
        <v>12</v>
      </c>
      <c r="S14" s="2"/>
    </row>
    <row r="15" spans="1:23" ht="15.75" customHeight="1" x14ac:dyDescent="0.25">
      <c r="A15" s="20">
        <v>1733</v>
      </c>
      <c r="B15" s="21" t="s">
        <v>66</v>
      </c>
      <c r="C15" s="21" t="s">
        <v>291</v>
      </c>
      <c r="D15" s="21" t="s">
        <v>307</v>
      </c>
      <c r="E15" s="12">
        <v>74</v>
      </c>
      <c r="F15" s="23" t="s">
        <v>162</v>
      </c>
      <c r="G15" s="14" t="s">
        <v>111</v>
      </c>
      <c r="H15" s="15">
        <v>1</v>
      </c>
      <c r="I15" s="23" t="s">
        <v>254</v>
      </c>
      <c r="J15" s="17">
        <v>2</v>
      </c>
      <c r="K15" s="17" t="s">
        <v>339</v>
      </c>
      <c r="L15" s="17" t="s">
        <v>340</v>
      </c>
      <c r="M15" s="17" t="s">
        <v>339</v>
      </c>
      <c r="N15" s="18">
        <f>M15+L15+K15+J15</f>
        <v>8</v>
      </c>
      <c r="O15" s="17">
        <v>13</v>
      </c>
      <c r="P15" s="17">
        <v>7</v>
      </c>
      <c r="Q15" s="17">
        <v>14</v>
      </c>
      <c r="R15" s="18">
        <v>34</v>
      </c>
      <c r="S15" s="2"/>
      <c r="W15" s="33">
        <f>MIN(W3:W13)</f>
        <v>51.2</v>
      </c>
    </row>
    <row r="16" spans="1:23" ht="15.75" customHeight="1" x14ac:dyDescent="0.25">
      <c r="A16" s="25">
        <v>33</v>
      </c>
      <c r="B16" s="21" t="s">
        <v>15</v>
      </c>
      <c r="C16" s="21" t="s">
        <v>294</v>
      </c>
      <c r="D16" s="21" t="s">
        <v>296</v>
      </c>
      <c r="E16" s="12">
        <v>76</v>
      </c>
      <c r="F16" s="23" t="s">
        <v>113</v>
      </c>
      <c r="G16" s="14" t="s">
        <v>111</v>
      </c>
      <c r="H16" s="15">
        <v>5</v>
      </c>
      <c r="I16" s="23" t="s">
        <v>225</v>
      </c>
      <c r="J16" s="17">
        <v>16</v>
      </c>
      <c r="K16" s="17" t="s">
        <v>339</v>
      </c>
      <c r="L16" s="17" t="s">
        <v>340</v>
      </c>
      <c r="M16" s="17" t="s">
        <v>339</v>
      </c>
      <c r="N16" s="18">
        <f>M16+L16+K16+J16</f>
        <v>22</v>
      </c>
      <c r="O16" s="17">
        <v>16</v>
      </c>
      <c r="P16" s="17">
        <v>7</v>
      </c>
      <c r="Q16" s="17">
        <v>1</v>
      </c>
      <c r="R16" s="18">
        <v>24</v>
      </c>
      <c r="S16" s="2"/>
    </row>
    <row r="17" spans="1:19" ht="15.75" customHeight="1" x14ac:dyDescent="0.25">
      <c r="A17" s="25">
        <v>582</v>
      </c>
      <c r="B17" s="21" t="s">
        <v>35</v>
      </c>
      <c r="C17" s="21" t="s">
        <v>287</v>
      </c>
      <c r="D17" s="21" t="s">
        <v>314</v>
      </c>
      <c r="E17" s="22">
        <v>58</v>
      </c>
      <c r="F17" s="14" t="s">
        <v>148</v>
      </c>
      <c r="G17" s="23" t="s">
        <v>149</v>
      </c>
      <c r="H17" s="24">
        <v>0</v>
      </c>
      <c r="I17" s="14" t="s">
        <v>236</v>
      </c>
      <c r="J17" s="17">
        <v>5</v>
      </c>
      <c r="K17" s="17" t="s">
        <v>339</v>
      </c>
      <c r="L17" s="17" t="s">
        <v>340</v>
      </c>
      <c r="M17" s="17" t="s">
        <v>339</v>
      </c>
      <c r="N17" s="18">
        <f>M17+L17+K17+J17</f>
        <v>11</v>
      </c>
      <c r="O17" s="17">
        <v>11</v>
      </c>
      <c r="P17" s="17">
        <v>7</v>
      </c>
      <c r="Q17" s="17">
        <v>4</v>
      </c>
      <c r="R17" s="18">
        <v>22</v>
      </c>
      <c r="S17" s="2"/>
    </row>
    <row r="18" spans="1:19" ht="15.75" customHeight="1" x14ac:dyDescent="0.25">
      <c r="A18" s="20">
        <v>1159</v>
      </c>
      <c r="B18" s="21" t="s">
        <v>43</v>
      </c>
      <c r="C18" s="21" t="s">
        <v>289</v>
      </c>
      <c r="D18" s="21" t="s">
        <v>320</v>
      </c>
      <c r="E18" s="22">
        <v>65</v>
      </c>
      <c r="F18" s="14" t="s">
        <v>162</v>
      </c>
      <c r="G18" s="23" t="s">
        <v>111</v>
      </c>
      <c r="H18" s="24">
        <v>2</v>
      </c>
      <c r="I18" s="14" t="s">
        <v>241</v>
      </c>
      <c r="J18" s="17">
        <v>5</v>
      </c>
      <c r="K18" s="17" t="s">
        <v>339</v>
      </c>
      <c r="L18" s="17" t="s">
        <v>340</v>
      </c>
      <c r="M18" s="17" t="s">
        <v>339</v>
      </c>
      <c r="N18" s="18">
        <f>M18+L18+K18+J18</f>
        <v>11</v>
      </c>
      <c r="O18" s="17">
        <v>13</v>
      </c>
      <c r="P18" s="17">
        <v>7</v>
      </c>
      <c r="Q18" s="17">
        <v>4</v>
      </c>
      <c r="R18" s="18">
        <v>24</v>
      </c>
      <c r="S18" s="2"/>
    </row>
    <row r="19" spans="1:19" ht="15.75" customHeight="1" x14ac:dyDescent="0.25">
      <c r="A19" s="25">
        <v>1224</v>
      </c>
      <c r="B19" s="21" t="s">
        <v>47</v>
      </c>
      <c r="C19" s="21" t="s">
        <v>280</v>
      </c>
      <c r="D19" s="21" t="s">
        <v>323</v>
      </c>
      <c r="E19" s="22">
        <v>55</v>
      </c>
      <c r="F19" s="14" t="s">
        <v>167</v>
      </c>
      <c r="G19" s="23" t="s">
        <v>168</v>
      </c>
      <c r="H19" s="24">
        <v>3</v>
      </c>
      <c r="I19" s="14" t="s">
        <v>146</v>
      </c>
      <c r="J19" s="17">
        <v>9</v>
      </c>
      <c r="K19" s="17" t="s">
        <v>339</v>
      </c>
      <c r="L19" s="17" t="s">
        <v>340</v>
      </c>
      <c r="M19" s="17" t="s">
        <v>339</v>
      </c>
      <c r="N19" s="18">
        <f>M19+L19+K19+J19</f>
        <v>15</v>
      </c>
      <c r="O19" s="17">
        <v>13</v>
      </c>
      <c r="P19" s="17">
        <v>7</v>
      </c>
      <c r="Q19" s="17">
        <v>10</v>
      </c>
      <c r="R19" s="18">
        <v>30</v>
      </c>
      <c r="S19" s="2"/>
    </row>
    <row r="20" spans="1:19" ht="15.75" customHeight="1" x14ac:dyDescent="0.25">
      <c r="A20" s="20">
        <v>9</v>
      </c>
      <c r="B20" s="21" t="s">
        <v>4</v>
      </c>
      <c r="C20" s="21" t="s">
        <v>276</v>
      </c>
      <c r="D20" s="21" t="s">
        <v>279</v>
      </c>
      <c r="E20" s="22">
        <v>50</v>
      </c>
      <c r="F20" s="14" t="s">
        <v>85</v>
      </c>
      <c r="G20" s="23" t="s">
        <v>93</v>
      </c>
      <c r="H20" s="24">
        <v>3</v>
      </c>
      <c r="I20" s="14" t="s">
        <v>146</v>
      </c>
      <c r="J20" s="17">
        <v>13</v>
      </c>
      <c r="K20" s="17" t="s">
        <v>339</v>
      </c>
      <c r="L20" s="17" t="s">
        <v>341</v>
      </c>
      <c r="M20" s="17" t="s">
        <v>339</v>
      </c>
      <c r="N20" s="18">
        <f>M20+L20+K20+J20</f>
        <v>21</v>
      </c>
      <c r="O20" s="17">
        <v>12</v>
      </c>
      <c r="P20" s="17">
        <v>7</v>
      </c>
      <c r="Q20" s="17">
        <v>11</v>
      </c>
      <c r="R20" s="18">
        <v>30</v>
      </c>
      <c r="S20" s="2"/>
    </row>
    <row r="21" spans="1:19" ht="15.75" customHeight="1" x14ac:dyDescent="0.25">
      <c r="A21" s="20">
        <v>1496</v>
      </c>
      <c r="B21" s="21" t="s">
        <v>55</v>
      </c>
      <c r="C21" s="21" t="s">
        <v>289</v>
      </c>
      <c r="D21" s="21" t="s">
        <v>304</v>
      </c>
      <c r="E21" s="22">
        <v>61</v>
      </c>
      <c r="F21" s="14" t="s">
        <v>181</v>
      </c>
      <c r="G21" s="23" t="s">
        <v>182</v>
      </c>
      <c r="H21" s="24">
        <v>0</v>
      </c>
      <c r="I21" s="14" t="s">
        <v>249</v>
      </c>
      <c r="J21" s="17">
        <v>10</v>
      </c>
      <c r="K21" s="17" t="s">
        <v>344</v>
      </c>
      <c r="L21" s="17" t="s">
        <v>340</v>
      </c>
      <c r="M21" s="17" t="s">
        <v>339</v>
      </c>
      <c r="N21" s="18">
        <f>M21+L21+K21+J21</f>
        <v>20</v>
      </c>
      <c r="O21" s="17">
        <v>13</v>
      </c>
      <c r="P21" s="17">
        <v>7</v>
      </c>
      <c r="Q21" s="17">
        <v>0</v>
      </c>
      <c r="R21" s="18">
        <v>20</v>
      </c>
      <c r="S21" s="2"/>
    </row>
    <row r="22" spans="1:19" ht="15.75" customHeight="1" x14ac:dyDescent="0.25">
      <c r="A22" s="25">
        <v>7</v>
      </c>
      <c r="B22" s="19" t="s">
        <v>2</v>
      </c>
      <c r="C22" s="19" t="s">
        <v>276</v>
      </c>
      <c r="D22" s="19" t="s">
        <v>277</v>
      </c>
      <c r="E22" s="22">
        <v>60</v>
      </c>
      <c r="F22" s="14" t="s">
        <v>89</v>
      </c>
      <c r="G22" s="23" t="s">
        <v>90</v>
      </c>
      <c r="H22" s="24">
        <v>5</v>
      </c>
      <c r="I22" s="14" t="s">
        <v>179</v>
      </c>
      <c r="J22" s="17">
        <v>6</v>
      </c>
      <c r="K22" s="17" t="s">
        <v>339</v>
      </c>
      <c r="L22" s="17" t="s">
        <v>340</v>
      </c>
      <c r="M22" s="17" t="s">
        <v>339</v>
      </c>
      <c r="N22" s="18">
        <f>M22+L22+K22+J22</f>
        <v>12</v>
      </c>
      <c r="O22" s="17">
        <v>20</v>
      </c>
      <c r="P22" s="17">
        <v>7</v>
      </c>
      <c r="Q22" s="17">
        <v>14</v>
      </c>
      <c r="R22" s="18">
        <v>41</v>
      </c>
      <c r="S22" s="2"/>
    </row>
    <row r="23" spans="1:19" ht="15.75" customHeight="1" x14ac:dyDescent="0.25">
      <c r="A23" s="25">
        <v>32</v>
      </c>
      <c r="B23" s="21" t="s">
        <v>14</v>
      </c>
      <c r="C23" s="21" t="s">
        <v>294</v>
      </c>
      <c r="D23" s="21" t="s">
        <v>296</v>
      </c>
      <c r="E23" s="12">
        <v>55</v>
      </c>
      <c r="F23" s="23" t="s">
        <v>112</v>
      </c>
      <c r="G23" s="14" t="s">
        <v>111</v>
      </c>
      <c r="H23" s="15">
        <v>0</v>
      </c>
      <c r="I23" s="23" t="s">
        <v>111</v>
      </c>
      <c r="J23" s="17">
        <v>11</v>
      </c>
      <c r="K23" s="17" t="s">
        <v>339</v>
      </c>
      <c r="L23" s="17" t="s">
        <v>340</v>
      </c>
      <c r="M23" s="17" t="s">
        <v>339</v>
      </c>
      <c r="N23" s="18">
        <f>M23+L23+K23+J23</f>
        <v>17</v>
      </c>
      <c r="O23" s="17">
        <v>11</v>
      </c>
      <c r="P23" s="17">
        <v>7</v>
      </c>
      <c r="Q23" s="17">
        <v>0</v>
      </c>
      <c r="R23" s="18">
        <v>18</v>
      </c>
      <c r="S23" s="2"/>
    </row>
    <row r="24" spans="1:19" ht="15.75" customHeight="1" x14ac:dyDescent="0.25">
      <c r="A24" s="20">
        <v>481</v>
      </c>
      <c r="B24" s="21" t="s">
        <v>25</v>
      </c>
      <c r="C24" s="21" t="s">
        <v>284</v>
      </c>
      <c r="D24" s="21" t="s">
        <v>306</v>
      </c>
      <c r="E24" s="12">
        <v>62</v>
      </c>
      <c r="F24" s="23" t="s">
        <v>130</v>
      </c>
      <c r="G24" s="14" t="s">
        <v>131</v>
      </c>
      <c r="H24" s="15">
        <v>25</v>
      </c>
      <c r="I24" s="23" t="s">
        <v>232</v>
      </c>
      <c r="J24" s="17">
        <v>2</v>
      </c>
      <c r="K24" s="17" t="s">
        <v>339</v>
      </c>
      <c r="L24" s="17" t="s">
        <v>340</v>
      </c>
      <c r="M24" s="17" t="s">
        <v>339</v>
      </c>
      <c r="N24" s="18">
        <f>M24+L24+K24+J24</f>
        <v>8</v>
      </c>
      <c r="O24" s="17">
        <v>21</v>
      </c>
      <c r="P24" s="17">
        <v>7</v>
      </c>
      <c r="Q24" s="17">
        <v>30</v>
      </c>
      <c r="R24" s="18">
        <v>58</v>
      </c>
      <c r="S24" s="2"/>
    </row>
    <row r="25" spans="1:19" ht="15.75" customHeight="1" x14ac:dyDescent="0.25">
      <c r="A25" s="20">
        <v>484</v>
      </c>
      <c r="B25" s="21" t="s">
        <v>28</v>
      </c>
      <c r="C25" s="21" t="s">
        <v>291</v>
      </c>
      <c r="D25" s="21" t="s">
        <v>293</v>
      </c>
      <c r="E25" s="12">
        <v>62</v>
      </c>
      <c r="F25" s="23" t="s">
        <v>136</v>
      </c>
      <c r="G25" s="14" t="s">
        <v>137</v>
      </c>
      <c r="H25" s="15">
        <v>10</v>
      </c>
      <c r="I25" s="23" t="s">
        <v>233</v>
      </c>
      <c r="J25" s="17">
        <v>8</v>
      </c>
      <c r="K25" s="17" t="s">
        <v>339</v>
      </c>
      <c r="L25" s="17" t="s">
        <v>340</v>
      </c>
      <c r="M25" s="17" t="s">
        <v>339</v>
      </c>
      <c r="N25" s="18">
        <f>M25+L25+K25+J25</f>
        <v>14</v>
      </c>
      <c r="O25" s="17">
        <v>13</v>
      </c>
      <c r="P25" s="17">
        <v>6</v>
      </c>
      <c r="Q25" s="17">
        <v>12</v>
      </c>
      <c r="R25" s="18">
        <v>31</v>
      </c>
      <c r="S25" s="2"/>
    </row>
    <row r="26" spans="1:19" ht="15.75" customHeight="1" x14ac:dyDescent="0.25">
      <c r="A26" s="25">
        <v>1167</v>
      </c>
      <c r="B26" s="21" t="s">
        <v>45</v>
      </c>
      <c r="C26" s="21" t="s">
        <v>294</v>
      </c>
      <c r="D26" s="21" t="s">
        <v>296</v>
      </c>
      <c r="E26" s="12">
        <v>37</v>
      </c>
      <c r="F26" s="23" t="s">
        <v>164</v>
      </c>
      <c r="G26" s="14" t="s">
        <v>165</v>
      </c>
      <c r="H26" s="15">
        <v>4</v>
      </c>
      <c r="I26" s="23" t="s">
        <v>243</v>
      </c>
      <c r="J26" s="17">
        <v>19</v>
      </c>
      <c r="K26" s="17" t="s">
        <v>343</v>
      </c>
      <c r="L26" s="17" t="s">
        <v>340</v>
      </c>
      <c r="M26" s="17" t="s">
        <v>339</v>
      </c>
      <c r="N26" s="18">
        <f>M26+L26+K26+J26</f>
        <v>40</v>
      </c>
      <c r="O26" s="17">
        <v>9</v>
      </c>
      <c r="P26" s="17">
        <v>6</v>
      </c>
      <c r="Q26" s="17">
        <v>0</v>
      </c>
      <c r="R26" s="18">
        <v>15</v>
      </c>
      <c r="S26" s="2"/>
    </row>
    <row r="27" spans="1:19" ht="15.75" customHeight="1" x14ac:dyDescent="0.25">
      <c r="A27" s="20">
        <v>1609</v>
      </c>
      <c r="B27" s="21" t="s">
        <v>61</v>
      </c>
      <c r="C27" s="21" t="s">
        <v>289</v>
      </c>
      <c r="D27" s="21" t="s">
        <v>324</v>
      </c>
      <c r="E27" s="12">
        <v>63</v>
      </c>
      <c r="F27" s="23" t="s">
        <v>192</v>
      </c>
      <c r="G27" s="14" t="s">
        <v>193</v>
      </c>
      <c r="H27" s="15">
        <v>1</v>
      </c>
      <c r="I27" s="23" t="s">
        <v>111</v>
      </c>
      <c r="J27" s="17">
        <v>9</v>
      </c>
      <c r="K27" s="17" t="s">
        <v>347</v>
      </c>
      <c r="L27" s="17" t="s">
        <v>340</v>
      </c>
      <c r="M27" s="17" t="s">
        <v>339</v>
      </c>
      <c r="N27" s="18">
        <f>M27+L27+K27+J27</f>
        <v>22</v>
      </c>
      <c r="O27" s="17">
        <v>13</v>
      </c>
      <c r="P27" s="17">
        <v>7</v>
      </c>
      <c r="Q27" s="17">
        <v>5</v>
      </c>
      <c r="R27" s="18">
        <v>25</v>
      </c>
      <c r="S27" s="2"/>
    </row>
    <row r="28" spans="1:19" ht="15.75" customHeight="1" x14ac:dyDescent="0.25">
      <c r="A28" s="25">
        <v>1701</v>
      </c>
      <c r="B28" s="21" t="s">
        <v>65</v>
      </c>
      <c r="C28" s="21" t="s">
        <v>299</v>
      </c>
      <c r="D28" s="21" t="s">
        <v>332</v>
      </c>
      <c r="E28" s="12">
        <v>60</v>
      </c>
      <c r="F28" s="23" t="s">
        <v>133</v>
      </c>
      <c r="G28" s="14" t="s">
        <v>111</v>
      </c>
      <c r="H28" s="15">
        <v>5</v>
      </c>
      <c r="I28" s="23" t="s">
        <v>255</v>
      </c>
      <c r="J28" s="17">
        <v>3</v>
      </c>
      <c r="K28" s="17" t="s">
        <v>339</v>
      </c>
      <c r="L28" s="17" t="s">
        <v>340</v>
      </c>
      <c r="M28" s="17" t="s">
        <v>339</v>
      </c>
      <c r="N28" s="18">
        <f>M28+L28+K28+J28</f>
        <v>9</v>
      </c>
      <c r="O28" s="17">
        <v>12</v>
      </c>
      <c r="P28" s="17">
        <v>7</v>
      </c>
      <c r="Q28" s="17">
        <v>13.5</v>
      </c>
      <c r="R28" s="18">
        <v>32.5</v>
      </c>
      <c r="S28" s="2"/>
    </row>
    <row r="29" spans="1:19" ht="15.75" customHeight="1" x14ac:dyDescent="0.25">
      <c r="A29" s="20">
        <v>1791</v>
      </c>
      <c r="B29" s="19" t="s">
        <v>74</v>
      </c>
      <c r="C29" s="19" t="s">
        <v>299</v>
      </c>
      <c r="D29" s="19" t="s">
        <v>328</v>
      </c>
      <c r="E29" s="12">
        <v>62</v>
      </c>
      <c r="F29" s="23" t="s">
        <v>195</v>
      </c>
      <c r="G29" s="14" t="s">
        <v>103</v>
      </c>
      <c r="H29" s="15">
        <v>0</v>
      </c>
      <c r="I29" s="23" t="s">
        <v>111</v>
      </c>
      <c r="J29" s="17">
        <v>4</v>
      </c>
      <c r="K29" s="17" t="s">
        <v>339</v>
      </c>
      <c r="L29" s="17" t="s">
        <v>340</v>
      </c>
      <c r="M29" s="17" t="s">
        <v>339</v>
      </c>
      <c r="N29" s="18">
        <f>M29+L29+K29+J29</f>
        <v>10</v>
      </c>
      <c r="O29" s="17">
        <v>13</v>
      </c>
      <c r="P29" s="17">
        <v>7</v>
      </c>
      <c r="Q29" s="17">
        <v>5.75</v>
      </c>
      <c r="R29" s="18">
        <v>25.75</v>
      </c>
      <c r="S29" s="2"/>
    </row>
    <row r="30" spans="1:19" ht="15.75" customHeight="1" x14ac:dyDescent="0.25">
      <c r="A30" s="25">
        <v>16</v>
      </c>
      <c r="B30" s="19" t="s">
        <v>6</v>
      </c>
      <c r="C30" s="19" t="s">
        <v>282</v>
      </c>
      <c r="D30" s="19" t="s">
        <v>283</v>
      </c>
      <c r="E30" s="12">
        <v>61</v>
      </c>
      <c r="F30" s="14" t="s">
        <v>96</v>
      </c>
      <c r="G30" s="14" t="s">
        <v>97</v>
      </c>
      <c r="H30" s="15">
        <v>9</v>
      </c>
      <c r="I30" s="14" t="s">
        <v>218</v>
      </c>
      <c r="J30" s="17">
        <v>5</v>
      </c>
      <c r="K30" s="17" t="s">
        <v>339</v>
      </c>
      <c r="L30" s="17" t="s">
        <v>340</v>
      </c>
      <c r="M30" s="17" t="s">
        <v>339</v>
      </c>
      <c r="N30" s="18">
        <f>M30+L30+K30+J30</f>
        <v>11</v>
      </c>
      <c r="O30" s="17">
        <v>12</v>
      </c>
      <c r="P30" s="17">
        <v>7</v>
      </c>
      <c r="Q30" s="17">
        <v>22</v>
      </c>
      <c r="R30" s="18">
        <v>41</v>
      </c>
      <c r="S30" s="2"/>
    </row>
    <row r="31" spans="1:19" ht="15.75" customHeight="1" x14ac:dyDescent="0.25">
      <c r="A31" s="25">
        <v>19</v>
      </c>
      <c r="B31" s="19" t="s">
        <v>7</v>
      </c>
      <c r="C31" s="19" t="s">
        <v>284</v>
      </c>
      <c r="D31" s="19" t="s">
        <v>285</v>
      </c>
      <c r="E31" s="12">
        <v>62</v>
      </c>
      <c r="F31" s="14" t="s">
        <v>98</v>
      </c>
      <c r="G31" s="14" t="s">
        <v>99</v>
      </c>
      <c r="H31" s="15">
        <v>6</v>
      </c>
      <c r="I31" s="14" t="s">
        <v>219</v>
      </c>
      <c r="J31" s="17">
        <v>6</v>
      </c>
      <c r="K31" s="17" t="s">
        <v>339</v>
      </c>
      <c r="L31" s="17" t="s">
        <v>340</v>
      </c>
      <c r="M31" s="17" t="s">
        <v>339</v>
      </c>
      <c r="N31" s="18">
        <f>M31+L31+K31+J31</f>
        <v>12</v>
      </c>
      <c r="O31" s="17">
        <v>13</v>
      </c>
      <c r="P31" s="17">
        <v>7</v>
      </c>
      <c r="Q31" s="17">
        <v>12</v>
      </c>
      <c r="R31" s="18">
        <v>32</v>
      </c>
      <c r="S31" s="2"/>
    </row>
    <row r="32" spans="1:19" ht="15.75" customHeight="1" x14ac:dyDescent="0.25">
      <c r="A32" s="20">
        <v>25</v>
      </c>
      <c r="B32" s="21" t="s">
        <v>9</v>
      </c>
      <c r="C32" s="21" t="s">
        <v>287</v>
      </c>
      <c r="D32" s="21" t="s">
        <v>288</v>
      </c>
      <c r="E32" s="22">
        <v>56</v>
      </c>
      <c r="F32" s="14" t="s">
        <v>102</v>
      </c>
      <c r="G32" s="23" t="s">
        <v>103</v>
      </c>
      <c r="H32" s="15">
        <v>6</v>
      </c>
      <c r="I32" s="14" t="s">
        <v>221</v>
      </c>
      <c r="J32" s="17">
        <v>9</v>
      </c>
      <c r="K32" s="17" t="s">
        <v>339</v>
      </c>
      <c r="L32" s="17" t="s">
        <v>340</v>
      </c>
      <c r="M32" s="17" t="s">
        <v>339</v>
      </c>
      <c r="N32" s="18">
        <f>M32+L32+K32+J32</f>
        <v>15</v>
      </c>
      <c r="O32" s="17">
        <v>13</v>
      </c>
      <c r="P32" s="17">
        <v>7</v>
      </c>
      <c r="Q32" s="17">
        <v>3</v>
      </c>
      <c r="R32" s="18">
        <v>23</v>
      </c>
      <c r="S32" s="2"/>
    </row>
    <row r="33" spans="1:19" ht="15.75" customHeight="1" x14ac:dyDescent="0.25">
      <c r="A33" s="20">
        <v>259</v>
      </c>
      <c r="B33" s="21" t="s">
        <v>21</v>
      </c>
      <c r="C33" s="21" t="s">
        <v>301</v>
      </c>
      <c r="D33" s="21" t="s">
        <v>302</v>
      </c>
      <c r="E33" s="22">
        <v>61</v>
      </c>
      <c r="F33" s="14" t="s">
        <v>124</v>
      </c>
      <c r="G33" s="23" t="s">
        <v>125</v>
      </c>
      <c r="H33" s="24">
        <v>3</v>
      </c>
      <c r="I33" s="14" t="s">
        <v>229</v>
      </c>
      <c r="J33" s="17">
        <v>4</v>
      </c>
      <c r="K33" s="17" t="s">
        <v>339</v>
      </c>
      <c r="L33" s="17" t="s">
        <v>340</v>
      </c>
      <c r="M33" s="17" t="s">
        <v>339</v>
      </c>
      <c r="N33" s="18">
        <f>M33+L33+K33+J33</f>
        <v>10</v>
      </c>
      <c r="O33" s="17">
        <v>13</v>
      </c>
      <c r="P33" s="17">
        <v>7</v>
      </c>
      <c r="Q33" s="17">
        <v>25</v>
      </c>
      <c r="R33" s="18">
        <v>45</v>
      </c>
      <c r="S33" s="2"/>
    </row>
    <row r="34" spans="1:19" ht="15.75" customHeight="1" x14ac:dyDescent="0.25">
      <c r="A34" s="20">
        <v>483</v>
      </c>
      <c r="B34" s="21" t="s">
        <v>27</v>
      </c>
      <c r="C34" s="21" t="s">
        <v>291</v>
      </c>
      <c r="D34" s="21" t="s">
        <v>307</v>
      </c>
      <c r="E34" s="22">
        <v>59</v>
      </c>
      <c r="F34" s="14" t="s">
        <v>134</v>
      </c>
      <c r="G34" s="23" t="s">
        <v>135</v>
      </c>
      <c r="H34" s="24">
        <v>3</v>
      </c>
      <c r="I34" s="14" t="s">
        <v>111</v>
      </c>
      <c r="J34" s="17">
        <v>4</v>
      </c>
      <c r="K34" s="17" t="s">
        <v>342</v>
      </c>
      <c r="L34" s="17" t="s">
        <v>340</v>
      </c>
      <c r="M34" s="17" t="s">
        <v>339</v>
      </c>
      <c r="N34" s="18">
        <f>M34+L34+K34+J34</f>
        <v>13</v>
      </c>
      <c r="O34" s="17">
        <v>22</v>
      </c>
      <c r="P34" s="17">
        <v>7</v>
      </c>
      <c r="Q34" s="17">
        <v>19</v>
      </c>
      <c r="R34" s="18">
        <v>48</v>
      </c>
      <c r="S34" s="2"/>
    </row>
    <row r="35" spans="1:19" ht="15.75" customHeight="1" x14ac:dyDescent="0.25">
      <c r="A35" s="20">
        <v>1481</v>
      </c>
      <c r="B35" s="21" t="s">
        <v>50</v>
      </c>
      <c r="C35" s="21" t="s">
        <v>291</v>
      </c>
      <c r="D35" s="21" t="s">
        <v>326</v>
      </c>
      <c r="E35" s="22">
        <v>58</v>
      </c>
      <c r="F35" s="14" t="s">
        <v>173</v>
      </c>
      <c r="G35" s="23" t="s">
        <v>174</v>
      </c>
      <c r="H35" s="24">
        <v>1</v>
      </c>
      <c r="I35" s="14" t="s">
        <v>247</v>
      </c>
      <c r="J35" s="17">
        <v>9</v>
      </c>
      <c r="K35" s="17" t="s">
        <v>339</v>
      </c>
      <c r="L35" s="17" t="s">
        <v>340</v>
      </c>
      <c r="M35" s="17" t="s">
        <v>339</v>
      </c>
      <c r="N35" s="18">
        <f>M35+L35+K35+J35</f>
        <v>15</v>
      </c>
      <c r="O35" s="17">
        <v>13</v>
      </c>
      <c r="P35" s="17">
        <v>5</v>
      </c>
      <c r="Q35" s="17">
        <v>6</v>
      </c>
      <c r="R35" s="18">
        <v>24</v>
      </c>
      <c r="S35" s="2"/>
    </row>
    <row r="36" spans="1:19" ht="15.75" customHeight="1" x14ac:dyDescent="0.25">
      <c r="A36" s="20">
        <v>1492</v>
      </c>
      <c r="B36" s="21" t="s">
        <v>52</v>
      </c>
      <c r="C36" s="21" t="s">
        <v>289</v>
      </c>
      <c r="D36" s="21" t="s">
        <v>324</v>
      </c>
      <c r="E36" s="22">
        <v>56</v>
      </c>
      <c r="F36" s="14" t="s">
        <v>176</v>
      </c>
      <c r="G36" s="23" t="s">
        <v>177</v>
      </c>
      <c r="H36" s="24">
        <v>0</v>
      </c>
      <c r="I36" s="14" t="s">
        <v>111</v>
      </c>
      <c r="J36" s="17">
        <v>11</v>
      </c>
      <c r="K36" s="17" t="s">
        <v>339</v>
      </c>
      <c r="L36" s="17" t="s">
        <v>341</v>
      </c>
      <c r="M36" s="17" t="s">
        <v>339</v>
      </c>
      <c r="N36" s="18">
        <f>M36+L36+K36+J36</f>
        <v>19</v>
      </c>
      <c r="O36" s="17">
        <v>12</v>
      </c>
      <c r="P36" s="17">
        <v>7</v>
      </c>
      <c r="Q36" s="17">
        <v>4</v>
      </c>
      <c r="R36" s="18">
        <v>23</v>
      </c>
      <c r="S36" s="2"/>
    </row>
    <row r="37" spans="1:19" ht="15.75" customHeight="1" x14ac:dyDescent="0.25">
      <c r="A37" s="20">
        <v>1589</v>
      </c>
      <c r="B37" s="19" t="s">
        <v>58</v>
      </c>
      <c r="C37" s="19" t="s">
        <v>289</v>
      </c>
      <c r="D37" s="19" t="s">
        <v>324</v>
      </c>
      <c r="E37" s="12">
        <v>55</v>
      </c>
      <c r="F37" s="14" t="s">
        <v>186</v>
      </c>
      <c r="G37" s="14" t="s">
        <v>187</v>
      </c>
      <c r="H37" s="15">
        <v>3</v>
      </c>
      <c r="I37" s="14" t="s">
        <v>250</v>
      </c>
      <c r="J37" s="17">
        <v>12</v>
      </c>
      <c r="K37" s="17" t="s">
        <v>339</v>
      </c>
      <c r="L37" s="17" t="s">
        <v>340</v>
      </c>
      <c r="M37" s="17" t="s">
        <v>339</v>
      </c>
      <c r="N37" s="18">
        <f>M37+L37+K37+J37</f>
        <v>18</v>
      </c>
      <c r="O37" s="17">
        <v>8</v>
      </c>
      <c r="P37" s="17">
        <v>6</v>
      </c>
      <c r="Q37" s="17">
        <v>0</v>
      </c>
      <c r="R37" s="18">
        <v>14</v>
      </c>
      <c r="S37" s="2"/>
    </row>
    <row r="38" spans="1:19" ht="15.75" customHeight="1" x14ac:dyDescent="0.25">
      <c r="A38" s="25">
        <v>1610</v>
      </c>
      <c r="B38" s="26" t="s">
        <v>62</v>
      </c>
      <c r="C38" s="26" t="s">
        <v>289</v>
      </c>
      <c r="D38" s="26" t="s">
        <v>324</v>
      </c>
      <c r="E38" s="12">
        <v>65</v>
      </c>
      <c r="F38" s="14" t="s">
        <v>194</v>
      </c>
      <c r="G38" s="14" t="s">
        <v>111</v>
      </c>
      <c r="H38" s="15">
        <v>0</v>
      </c>
      <c r="I38" s="14" t="s">
        <v>111</v>
      </c>
      <c r="J38" s="17">
        <v>15</v>
      </c>
      <c r="K38" s="17" t="s">
        <v>339</v>
      </c>
      <c r="L38" s="17" t="s">
        <v>340</v>
      </c>
      <c r="M38" s="17" t="s">
        <v>339</v>
      </c>
      <c r="N38" s="18">
        <f>M38+L38+K38+J38</f>
        <v>21</v>
      </c>
      <c r="O38" s="17">
        <v>13</v>
      </c>
      <c r="P38" s="17">
        <v>7</v>
      </c>
      <c r="Q38" s="17">
        <v>3</v>
      </c>
      <c r="R38" s="18">
        <v>23</v>
      </c>
      <c r="S38" s="2"/>
    </row>
    <row r="39" spans="1:19" ht="15.75" customHeight="1" x14ac:dyDescent="0.25">
      <c r="A39" s="20">
        <v>1738</v>
      </c>
      <c r="B39" s="21" t="s">
        <v>67</v>
      </c>
      <c r="C39" s="21" t="s">
        <v>289</v>
      </c>
      <c r="D39" s="21" t="s">
        <v>324</v>
      </c>
      <c r="E39" s="12">
        <v>77</v>
      </c>
      <c r="F39" s="23" t="s">
        <v>195</v>
      </c>
      <c r="G39" s="14" t="s">
        <v>111</v>
      </c>
      <c r="H39" s="15">
        <v>3</v>
      </c>
      <c r="I39" s="23" t="s">
        <v>256</v>
      </c>
      <c r="J39" s="17">
        <v>3</v>
      </c>
      <c r="K39" s="17" t="s">
        <v>339</v>
      </c>
      <c r="L39" s="17" t="s">
        <v>340</v>
      </c>
      <c r="M39" s="17" t="s">
        <v>339</v>
      </c>
      <c r="N39" s="18">
        <f>M39+L39+K39+J39</f>
        <v>9</v>
      </c>
      <c r="O39" s="17">
        <v>13</v>
      </c>
      <c r="P39" s="17">
        <v>7</v>
      </c>
      <c r="Q39" s="17">
        <v>11.75</v>
      </c>
      <c r="R39" s="18">
        <v>31.75</v>
      </c>
      <c r="S39" s="2"/>
    </row>
    <row r="40" spans="1:19" ht="15.75" customHeight="1" x14ac:dyDescent="0.25">
      <c r="A40" s="20">
        <v>1780</v>
      </c>
      <c r="B40" s="21" t="s">
        <v>73</v>
      </c>
      <c r="C40" s="21" t="s">
        <v>280</v>
      </c>
      <c r="D40" s="21" t="s">
        <v>334</v>
      </c>
      <c r="E40" s="12">
        <v>60</v>
      </c>
      <c r="F40" s="23" t="s">
        <v>201</v>
      </c>
      <c r="G40" s="14" t="s">
        <v>202</v>
      </c>
      <c r="H40" s="15">
        <v>0</v>
      </c>
      <c r="I40" s="23" t="s">
        <v>202</v>
      </c>
      <c r="J40" s="17">
        <v>5</v>
      </c>
      <c r="K40" s="17" t="s">
        <v>339</v>
      </c>
      <c r="L40" s="17" t="s">
        <v>340</v>
      </c>
      <c r="M40" s="17" t="s">
        <v>339</v>
      </c>
      <c r="N40" s="18">
        <f>M40+L40+K40+J40</f>
        <v>11</v>
      </c>
      <c r="O40" s="17">
        <v>12</v>
      </c>
      <c r="P40" s="17">
        <v>7</v>
      </c>
      <c r="Q40" s="17">
        <v>2.75</v>
      </c>
      <c r="R40" s="18">
        <v>21.75</v>
      </c>
      <c r="S40" s="2"/>
    </row>
    <row r="41" spans="1:19" ht="15.75" customHeight="1" x14ac:dyDescent="0.25">
      <c r="A41" s="20">
        <v>6</v>
      </c>
      <c r="B41" s="11" t="s">
        <v>1</v>
      </c>
      <c r="C41" s="11" t="s">
        <v>273</v>
      </c>
      <c r="D41" s="11" t="s">
        <v>275</v>
      </c>
      <c r="E41" s="12">
        <v>65</v>
      </c>
      <c r="F41" s="13" t="s">
        <v>87</v>
      </c>
      <c r="G41" s="14" t="s">
        <v>88</v>
      </c>
      <c r="H41" s="27">
        <v>1</v>
      </c>
      <c r="I41" s="13" t="s">
        <v>215</v>
      </c>
      <c r="J41" s="17">
        <v>2</v>
      </c>
      <c r="K41" s="17" t="s">
        <v>339</v>
      </c>
      <c r="L41" s="17" t="s">
        <v>340</v>
      </c>
      <c r="M41" s="17" t="s">
        <v>339</v>
      </c>
      <c r="N41" s="18">
        <f>M41+L41+K41+J41</f>
        <v>8</v>
      </c>
      <c r="O41" s="17">
        <v>22</v>
      </c>
      <c r="P41" s="17">
        <v>7</v>
      </c>
      <c r="Q41" s="17">
        <v>27</v>
      </c>
      <c r="R41" s="18">
        <v>56</v>
      </c>
      <c r="S41" s="2"/>
    </row>
    <row r="42" spans="1:19" ht="15.75" customHeight="1" x14ac:dyDescent="0.25">
      <c r="A42" s="25">
        <v>8</v>
      </c>
      <c r="B42" s="19" t="s">
        <v>3</v>
      </c>
      <c r="C42" s="19" t="s">
        <v>276</v>
      </c>
      <c r="D42" s="19" t="s">
        <v>278</v>
      </c>
      <c r="E42" s="12">
        <v>58</v>
      </c>
      <c r="F42" s="13" t="s">
        <v>91</v>
      </c>
      <c r="G42" s="14" t="s">
        <v>92</v>
      </c>
      <c r="H42" s="15">
        <v>2</v>
      </c>
      <c r="I42" s="13" t="s">
        <v>216</v>
      </c>
      <c r="J42" s="17">
        <v>8</v>
      </c>
      <c r="K42" s="17" t="s">
        <v>339</v>
      </c>
      <c r="L42" s="17" t="s">
        <v>340</v>
      </c>
      <c r="M42" s="17" t="s">
        <v>339</v>
      </c>
      <c r="N42" s="18">
        <f>M42+L42+K42+J42</f>
        <v>14</v>
      </c>
      <c r="O42" s="17">
        <v>22</v>
      </c>
      <c r="P42" s="17">
        <v>7</v>
      </c>
      <c r="Q42" s="17">
        <v>5</v>
      </c>
      <c r="R42" s="18">
        <v>34</v>
      </c>
      <c r="S42" s="2"/>
    </row>
    <row r="43" spans="1:19" ht="15.75" customHeight="1" x14ac:dyDescent="0.25">
      <c r="A43" s="20">
        <v>11</v>
      </c>
      <c r="B43" s="19" t="s">
        <v>5</v>
      </c>
      <c r="C43" s="19" t="s">
        <v>280</v>
      </c>
      <c r="D43" s="19" t="s">
        <v>281</v>
      </c>
      <c r="E43" s="12">
        <v>57</v>
      </c>
      <c r="F43" s="14" t="s">
        <v>94</v>
      </c>
      <c r="G43" s="14" t="s">
        <v>95</v>
      </c>
      <c r="H43" s="15">
        <v>13</v>
      </c>
      <c r="I43" s="13" t="s">
        <v>217</v>
      </c>
      <c r="J43" s="17">
        <v>9</v>
      </c>
      <c r="K43" s="17" t="s">
        <v>339</v>
      </c>
      <c r="L43" s="17" t="s">
        <v>340</v>
      </c>
      <c r="M43" s="17" t="s">
        <v>339</v>
      </c>
      <c r="N43" s="18">
        <f>M43+L43+K43+J43</f>
        <v>15</v>
      </c>
      <c r="O43" s="17">
        <v>22</v>
      </c>
      <c r="P43" s="17">
        <v>7</v>
      </c>
      <c r="Q43" s="17">
        <v>22</v>
      </c>
      <c r="R43" s="18">
        <v>51</v>
      </c>
      <c r="S43" s="2"/>
    </row>
    <row r="44" spans="1:19" ht="15.75" customHeight="1" x14ac:dyDescent="0.25">
      <c r="A44" s="20">
        <v>29</v>
      </c>
      <c r="B44" s="21" t="s">
        <v>12</v>
      </c>
      <c r="C44" s="21" t="s">
        <v>291</v>
      </c>
      <c r="D44" s="21" t="s">
        <v>293</v>
      </c>
      <c r="E44" s="22">
        <v>57</v>
      </c>
      <c r="F44" s="14" t="s">
        <v>108</v>
      </c>
      <c r="G44" s="23" t="s">
        <v>109</v>
      </c>
      <c r="H44" s="15">
        <v>0</v>
      </c>
      <c r="I44" s="14" t="s">
        <v>190</v>
      </c>
      <c r="J44" s="17">
        <v>8</v>
      </c>
      <c r="K44" s="17" t="s">
        <v>339</v>
      </c>
      <c r="L44" s="17" t="s">
        <v>340</v>
      </c>
      <c r="M44" s="17" t="s">
        <v>339</v>
      </c>
      <c r="N44" s="18">
        <f>M44+L44+K44+J44</f>
        <v>14</v>
      </c>
      <c r="O44" s="17">
        <v>8</v>
      </c>
      <c r="P44" s="17">
        <v>6</v>
      </c>
      <c r="Q44" s="17">
        <v>6</v>
      </c>
      <c r="R44" s="18">
        <v>20</v>
      </c>
      <c r="S44" s="2"/>
    </row>
    <row r="45" spans="1:19" ht="15.75" customHeight="1" x14ac:dyDescent="0.25">
      <c r="A45" s="25">
        <v>39</v>
      </c>
      <c r="B45" s="21" t="s">
        <v>18</v>
      </c>
      <c r="C45" s="21" t="s">
        <v>294</v>
      </c>
      <c r="D45" s="21" t="s">
        <v>297</v>
      </c>
      <c r="E45" s="22">
        <v>60</v>
      </c>
      <c r="F45" s="14" t="s">
        <v>118</v>
      </c>
      <c r="G45" s="23" t="s">
        <v>119</v>
      </c>
      <c r="H45" s="24">
        <v>6</v>
      </c>
      <c r="I45" s="14" t="s">
        <v>176</v>
      </c>
      <c r="J45" s="17">
        <v>6</v>
      </c>
      <c r="K45" s="17" t="s">
        <v>339</v>
      </c>
      <c r="L45" s="17" t="s">
        <v>340</v>
      </c>
      <c r="M45" s="17" t="s">
        <v>339</v>
      </c>
      <c r="N45" s="18">
        <f>M45+L45+K45+J45</f>
        <v>12</v>
      </c>
      <c r="O45" s="17">
        <v>10</v>
      </c>
      <c r="P45" s="17">
        <v>6</v>
      </c>
      <c r="Q45" s="17">
        <v>0</v>
      </c>
      <c r="R45" s="18">
        <v>16</v>
      </c>
      <c r="S45" s="2"/>
    </row>
    <row r="46" spans="1:19" ht="15.75" customHeight="1" x14ac:dyDescent="0.25">
      <c r="A46" s="20">
        <v>373</v>
      </c>
      <c r="B46" s="21" t="s">
        <v>23</v>
      </c>
      <c r="C46" s="21" t="s">
        <v>289</v>
      </c>
      <c r="D46" s="21" t="s">
        <v>304</v>
      </c>
      <c r="E46" s="22">
        <v>70</v>
      </c>
      <c r="F46" s="14" t="s">
        <v>127</v>
      </c>
      <c r="G46" s="23" t="s">
        <v>128</v>
      </c>
      <c r="H46" s="24">
        <v>3</v>
      </c>
      <c r="I46" s="14" t="s">
        <v>230</v>
      </c>
      <c r="J46" s="17">
        <v>5</v>
      </c>
      <c r="K46" s="17" t="s">
        <v>339</v>
      </c>
      <c r="L46" s="17" t="s">
        <v>340</v>
      </c>
      <c r="M46" s="17" t="s">
        <v>339</v>
      </c>
      <c r="N46" s="18">
        <f>M46+L46+K46+J46</f>
        <v>11</v>
      </c>
      <c r="O46" s="17">
        <v>13</v>
      </c>
      <c r="P46" s="17">
        <v>7</v>
      </c>
      <c r="Q46" s="17">
        <v>9</v>
      </c>
      <c r="R46" s="18">
        <v>29</v>
      </c>
      <c r="S46" s="2"/>
    </row>
    <row r="47" spans="1:19" ht="15.75" customHeight="1" x14ac:dyDescent="0.25">
      <c r="A47" s="20">
        <v>485</v>
      </c>
      <c r="B47" s="21" t="s">
        <v>29</v>
      </c>
      <c r="C47" s="21" t="s">
        <v>301</v>
      </c>
      <c r="D47" s="21" t="s">
        <v>308</v>
      </c>
      <c r="E47" s="22">
        <v>62</v>
      </c>
      <c r="F47" s="13" t="s">
        <v>138</v>
      </c>
      <c r="G47" s="23" t="s">
        <v>139</v>
      </c>
      <c r="H47" s="24">
        <v>4</v>
      </c>
      <c r="I47" s="13" t="s">
        <v>234</v>
      </c>
      <c r="J47" s="17">
        <v>3</v>
      </c>
      <c r="K47" s="17" t="s">
        <v>339</v>
      </c>
      <c r="L47" s="17" t="s">
        <v>340</v>
      </c>
      <c r="M47" s="17" t="s">
        <v>339</v>
      </c>
      <c r="N47" s="18">
        <f>M47+L47+K47+J47</f>
        <v>9</v>
      </c>
      <c r="O47" s="17">
        <v>13</v>
      </c>
      <c r="P47" s="17">
        <v>7</v>
      </c>
      <c r="Q47" s="17">
        <v>19</v>
      </c>
      <c r="R47" s="18">
        <v>39</v>
      </c>
      <c r="S47" s="2"/>
    </row>
    <row r="48" spans="1:19" ht="15.75" customHeight="1" x14ac:dyDescent="0.25">
      <c r="A48" s="20">
        <v>486</v>
      </c>
      <c r="B48" s="21" t="s">
        <v>30</v>
      </c>
      <c r="C48" s="21" t="s">
        <v>291</v>
      </c>
      <c r="D48" s="21" t="s">
        <v>309</v>
      </c>
      <c r="E48" s="22">
        <v>63</v>
      </c>
      <c r="F48" s="13" t="s">
        <v>140</v>
      </c>
      <c r="G48" s="23" t="s">
        <v>111</v>
      </c>
      <c r="H48" s="24">
        <v>54</v>
      </c>
      <c r="I48" s="13" t="s">
        <v>235</v>
      </c>
      <c r="J48" s="17">
        <v>3</v>
      </c>
      <c r="K48" s="17" t="s">
        <v>339</v>
      </c>
      <c r="L48" s="17" t="s">
        <v>340</v>
      </c>
      <c r="M48" s="17" t="s">
        <v>339</v>
      </c>
      <c r="N48" s="18">
        <f>M48+L48+K48+J48</f>
        <v>9</v>
      </c>
      <c r="O48" s="17">
        <v>22</v>
      </c>
      <c r="P48" s="17">
        <v>7</v>
      </c>
      <c r="Q48" s="17">
        <v>19</v>
      </c>
      <c r="R48" s="18">
        <v>48</v>
      </c>
      <c r="S48" s="2"/>
    </row>
    <row r="49" spans="1:19" ht="15.75" customHeight="1" x14ac:dyDescent="0.25">
      <c r="A49" s="25">
        <v>504</v>
      </c>
      <c r="B49" s="21" t="s">
        <v>34</v>
      </c>
      <c r="C49" s="21" t="s">
        <v>273</v>
      </c>
      <c r="D49" s="21" t="s">
        <v>313</v>
      </c>
      <c r="E49" s="22">
        <v>63</v>
      </c>
      <c r="F49" s="14" t="s">
        <v>147</v>
      </c>
      <c r="G49" s="23" t="s">
        <v>103</v>
      </c>
      <c r="H49" s="24">
        <v>2</v>
      </c>
      <c r="I49" s="13" t="s">
        <v>223</v>
      </c>
      <c r="J49" s="17">
        <v>4</v>
      </c>
      <c r="K49" s="17" t="s">
        <v>339</v>
      </c>
      <c r="L49" s="17" t="s">
        <v>340</v>
      </c>
      <c r="M49" s="17" t="s">
        <v>339</v>
      </c>
      <c r="N49" s="18">
        <f>M49+L49+K49+J49</f>
        <v>10</v>
      </c>
      <c r="O49" s="17">
        <v>12</v>
      </c>
      <c r="P49" s="17">
        <v>7</v>
      </c>
      <c r="Q49" s="17">
        <v>13</v>
      </c>
      <c r="R49" s="18">
        <v>32</v>
      </c>
      <c r="S49" s="2"/>
    </row>
    <row r="50" spans="1:19" ht="15.75" customHeight="1" x14ac:dyDescent="0.25">
      <c r="A50" s="25">
        <v>1037</v>
      </c>
      <c r="B50" s="19" t="s">
        <v>42</v>
      </c>
      <c r="C50" s="19" t="s">
        <v>289</v>
      </c>
      <c r="D50" s="19" t="s">
        <v>319</v>
      </c>
      <c r="E50" s="22">
        <v>71</v>
      </c>
      <c r="F50" s="14" t="s">
        <v>160</v>
      </c>
      <c r="G50" s="23" t="s">
        <v>161</v>
      </c>
      <c r="H50" s="24">
        <v>1</v>
      </c>
      <c r="I50" s="14" t="s">
        <v>111</v>
      </c>
      <c r="J50" s="17">
        <v>8</v>
      </c>
      <c r="K50" s="17" t="s">
        <v>339</v>
      </c>
      <c r="L50" s="17" t="s">
        <v>340</v>
      </c>
      <c r="M50" s="17" t="s">
        <v>339</v>
      </c>
      <c r="N50" s="18">
        <f>M50+L50+K50+J50</f>
        <v>14</v>
      </c>
      <c r="O50" s="17">
        <v>13</v>
      </c>
      <c r="P50" s="17">
        <v>7</v>
      </c>
      <c r="Q50" s="17">
        <v>10</v>
      </c>
      <c r="R50" s="18">
        <v>30</v>
      </c>
      <c r="S50" s="2"/>
    </row>
    <row r="51" spans="1:19" ht="15.75" customHeight="1" x14ac:dyDescent="0.25">
      <c r="A51" s="25">
        <v>1493</v>
      </c>
      <c r="B51" s="19" t="s">
        <v>53</v>
      </c>
      <c r="C51" s="19" t="s">
        <v>289</v>
      </c>
      <c r="D51" s="19" t="s">
        <v>324</v>
      </c>
      <c r="E51" s="12">
        <v>59</v>
      </c>
      <c r="F51" s="14" t="s">
        <v>178</v>
      </c>
      <c r="G51" s="14" t="s">
        <v>179</v>
      </c>
      <c r="H51" s="15">
        <v>0</v>
      </c>
      <c r="I51" s="14" t="s">
        <v>111</v>
      </c>
      <c r="J51" s="17">
        <v>12</v>
      </c>
      <c r="K51" s="17" t="s">
        <v>339</v>
      </c>
      <c r="L51" s="17" t="s">
        <v>340</v>
      </c>
      <c r="M51" s="17" t="s">
        <v>339</v>
      </c>
      <c r="N51" s="18">
        <f>M51+L51+K51+J51</f>
        <v>18</v>
      </c>
      <c r="O51" s="17">
        <v>11</v>
      </c>
      <c r="P51" s="17">
        <v>5</v>
      </c>
      <c r="Q51" s="17">
        <v>0</v>
      </c>
      <c r="R51" s="18">
        <v>16</v>
      </c>
      <c r="S51" s="2"/>
    </row>
    <row r="52" spans="1:19" ht="15.75" customHeight="1" x14ac:dyDescent="0.25">
      <c r="A52" s="20">
        <v>1569</v>
      </c>
      <c r="B52" s="19" t="s">
        <v>56</v>
      </c>
      <c r="C52" s="19" t="s">
        <v>299</v>
      </c>
      <c r="D52" s="19" t="s">
        <v>328</v>
      </c>
      <c r="E52" s="12">
        <v>60</v>
      </c>
      <c r="F52" s="14" t="s">
        <v>183</v>
      </c>
      <c r="G52" s="14" t="s">
        <v>184</v>
      </c>
      <c r="H52" s="15">
        <v>0</v>
      </c>
      <c r="I52" s="14" t="s">
        <v>223</v>
      </c>
      <c r="J52" s="17">
        <v>7</v>
      </c>
      <c r="K52" s="17" t="s">
        <v>339</v>
      </c>
      <c r="L52" s="17" t="s">
        <v>340</v>
      </c>
      <c r="M52" s="17" t="s">
        <v>339</v>
      </c>
      <c r="N52" s="18">
        <f>M52+L52+K52+J52</f>
        <v>13</v>
      </c>
      <c r="O52" s="17">
        <v>12</v>
      </c>
      <c r="P52" s="17">
        <v>7</v>
      </c>
      <c r="Q52" s="17">
        <v>14</v>
      </c>
      <c r="R52" s="18">
        <v>33</v>
      </c>
      <c r="S52" s="2"/>
    </row>
    <row r="53" spans="1:19" ht="15.75" customHeight="1" x14ac:dyDescent="0.25">
      <c r="A53" s="25">
        <v>1628</v>
      </c>
      <c r="B53" s="21" t="s">
        <v>63</v>
      </c>
      <c r="C53" s="21" t="s">
        <v>299</v>
      </c>
      <c r="D53" s="21" t="s">
        <v>328</v>
      </c>
      <c r="E53" s="12">
        <v>59</v>
      </c>
      <c r="F53" s="14" t="s">
        <v>194</v>
      </c>
      <c r="G53" s="14" t="s">
        <v>111</v>
      </c>
      <c r="H53" s="15">
        <v>9</v>
      </c>
      <c r="I53" s="14" t="s">
        <v>253</v>
      </c>
      <c r="J53" s="17">
        <v>8</v>
      </c>
      <c r="K53" s="17" t="s">
        <v>339</v>
      </c>
      <c r="L53" s="17" t="s">
        <v>340</v>
      </c>
      <c r="M53" s="17" t="s">
        <v>339</v>
      </c>
      <c r="N53" s="18">
        <f>M53+L53+K53+J53</f>
        <v>14</v>
      </c>
      <c r="O53" s="17">
        <v>11</v>
      </c>
      <c r="P53" s="17">
        <v>7</v>
      </c>
      <c r="Q53" s="17">
        <v>4</v>
      </c>
      <c r="R53" s="18">
        <v>22</v>
      </c>
      <c r="S53" s="2"/>
    </row>
    <row r="54" spans="1:19" ht="15.75" customHeight="1" x14ac:dyDescent="0.25">
      <c r="A54" s="20">
        <v>1739</v>
      </c>
      <c r="B54" s="21" t="s">
        <v>68</v>
      </c>
      <c r="C54" s="21" t="s">
        <v>289</v>
      </c>
      <c r="D54" s="21" t="s">
        <v>324</v>
      </c>
      <c r="E54" s="12">
        <v>68</v>
      </c>
      <c r="F54" s="23" t="s">
        <v>196</v>
      </c>
      <c r="G54" s="14" t="s">
        <v>197</v>
      </c>
      <c r="H54" s="15">
        <v>3</v>
      </c>
      <c r="I54" s="23" t="s">
        <v>111</v>
      </c>
      <c r="J54" s="17">
        <v>4</v>
      </c>
      <c r="K54" s="17" t="s">
        <v>339</v>
      </c>
      <c r="L54" s="17" t="s">
        <v>340</v>
      </c>
      <c r="M54" s="17" t="s">
        <v>339</v>
      </c>
      <c r="N54" s="18">
        <f>M54+L54+K54+J54</f>
        <v>10</v>
      </c>
      <c r="O54" s="17">
        <v>13</v>
      </c>
      <c r="P54" s="17">
        <v>7</v>
      </c>
      <c r="Q54" s="17">
        <v>11.75</v>
      </c>
      <c r="R54" s="18">
        <v>31.75</v>
      </c>
      <c r="S54" s="2"/>
    </row>
    <row r="55" spans="1:19" ht="15.75" customHeight="1" x14ac:dyDescent="0.25">
      <c r="A55" s="20">
        <v>1901</v>
      </c>
      <c r="B55" s="21" t="s">
        <v>79</v>
      </c>
      <c r="C55" s="21" t="s">
        <v>287</v>
      </c>
      <c r="D55" s="21" t="s">
        <v>336</v>
      </c>
      <c r="E55" s="12">
        <v>53</v>
      </c>
      <c r="F55" s="23" t="s">
        <v>211</v>
      </c>
      <c r="G55" s="14" t="s">
        <v>182</v>
      </c>
      <c r="H55" s="15">
        <v>0</v>
      </c>
      <c r="I55" s="23" t="s">
        <v>111</v>
      </c>
      <c r="J55" s="17">
        <v>6</v>
      </c>
      <c r="K55" s="17" t="s">
        <v>339</v>
      </c>
      <c r="L55" s="17" t="s">
        <v>340</v>
      </c>
      <c r="M55" s="17" t="s">
        <v>339</v>
      </c>
      <c r="N55" s="18">
        <f>M55+L55+K55+J55</f>
        <v>12</v>
      </c>
      <c r="O55" s="17">
        <v>9</v>
      </c>
      <c r="P55" s="17">
        <v>7</v>
      </c>
      <c r="Q55" s="17">
        <v>0</v>
      </c>
      <c r="R55" s="18">
        <v>16</v>
      </c>
      <c r="S55" s="2"/>
    </row>
    <row r="56" spans="1:19" ht="15.75" customHeight="1" x14ac:dyDescent="0.25">
      <c r="A56" s="20">
        <v>1775</v>
      </c>
      <c r="B56" s="21" t="s">
        <v>71</v>
      </c>
      <c r="C56" s="21" t="s">
        <v>289</v>
      </c>
      <c r="D56" s="21" t="s">
        <v>324</v>
      </c>
      <c r="E56" s="12">
        <v>37</v>
      </c>
      <c r="F56" s="23" t="s">
        <v>199</v>
      </c>
      <c r="G56" s="14" t="s">
        <v>111</v>
      </c>
      <c r="H56" s="15">
        <v>0</v>
      </c>
      <c r="I56" s="23" t="s">
        <v>257</v>
      </c>
      <c r="J56" s="17">
        <v>32</v>
      </c>
      <c r="K56" s="17" t="s">
        <v>339</v>
      </c>
      <c r="L56" s="17" t="s">
        <v>340</v>
      </c>
      <c r="M56" s="17" t="s">
        <v>339</v>
      </c>
      <c r="N56" s="18">
        <f>M56+L56+K56+J56</f>
        <v>38</v>
      </c>
      <c r="O56" s="17">
        <v>13</v>
      </c>
      <c r="P56" s="17">
        <v>7</v>
      </c>
      <c r="Q56" s="17">
        <v>10.5</v>
      </c>
      <c r="R56" s="18">
        <v>-1.5</v>
      </c>
      <c r="S56" s="2"/>
    </row>
    <row r="57" spans="1:19" ht="15.75" customHeight="1" x14ac:dyDescent="0.25">
      <c r="A57" s="25">
        <v>5</v>
      </c>
      <c r="B57" s="21" t="s">
        <v>0</v>
      </c>
      <c r="C57" s="21" t="s">
        <v>273</v>
      </c>
      <c r="D57" s="21" t="s">
        <v>274</v>
      </c>
      <c r="E57" s="12">
        <v>62</v>
      </c>
      <c r="F57" s="23" t="s">
        <v>85</v>
      </c>
      <c r="G57" s="14" t="s">
        <v>86</v>
      </c>
      <c r="H57" s="15">
        <v>1</v>
      </c>
      <c r="I57" s="23" t="s">
        <v>111</v>
      </c>
      <c r="J57" s="17">
        <v>5</v>
      </c>
      <c r="K57" s="17" t="s">
        <v>339</v>
      </c>
      <c r="L57" s="17" t="s">
        <v>340</v>
      </c>
      <c r="M57" s="17" t="s">
        <v>339</v>
      </c>
      <c r="N57" s="18">
        <f>M57+L57+K57+J57</f>
        <v>11</v>
      </c>
      <c r="O57" s="17">
        <v>22</v>
      </c>
      <c r="P57" s="17">
        <v>7</v>
      </c>
      <c r="Q57" s="17">
        <v>29</v>
      </c>
      <c r="R57" s="18">
        <v>58</v>
      </c>
      <c r="S57" s="2"/>
    </row>
    <row r="58" spans="1:19" ht="15.75" customHeight="1" x14ac:dyDescent="0.25">
      <c r="A58" s="25">
        <v>20</v>
      </c>
      <c r="B58" s="21" t="s">
        <v>8</v>
      </c>
      <c r="C58" s="21" t="s">
        <v>284</v>
      </c>
      <c r="D58" s="21" t="s">
        <v>286</v>
      </c>
      <c r="E58" s="12">
        <v>60</v>
      </c>
      <c r="F58" s="23" t="s">
        <v>100</v>
      </c>
      <c r="G58" s="14" t="s">
        <v>101</v>
      </c>
      <c r="H58" s="15">
        <v>2</v>
      </c>
      <c r="I58" s="23" t="s">
        <v>220</v>
      </c>
      <c r="J58" s="17">
        <v>8</v>
      </c>
      <c r="K58" s="17" t="s">
        <v>339</v>
      </c>
      <c r="L58" s="17" t="s">
        <v>340</v>
      </c>
      <c r="M58" s="17" t="s">
        <v>339</v>
      </c>
      <c r="N58" s="18">
        <f>M58+L58+K58+J58</f>
        <v>14</v>
      </c>
      <c r="O58" s="17">
        <v>13</v>
      </c>
      <c r="P58" s="17">
        <v>7</v>
      </c>
      <c r="Q58" s="17">
        <v>0</v>
      </c>
      <c r="R58" s="18">
        <v>20</v>
      </c>
      <c r="S58" s="2"/>
    </row>
    <row r="59" spans="1:19" ht="15.75" customHeight="1" x14ac:dyDescent="0.25">
      <c r="A59" s="25">
        <v>26</v>
      </c>
      <c r="B59" s="21" t="s">
        <v>10</v>
      </c>
      <c r="C59" s="21" t="s">
        <v>289</v>
      </c>
      <c r="D59" s="21" t="s">
        <v>290</v>
      </c>
      <c r="E59" s="12">
        <v>48</v>
      </c>
      <c r="F59" s="23" t="s">
        <v>104</v>
      </c>
      <c r="G59" s="14" t="s">
        <v>105</v>
      </c>
      <c r="H59" s="15">
        <v>3</v>
      </c>
      <c r="I59" s="23" t="s">
        <v>222</v>
      </c>
      <c r="J59" s="17">
        <v>19</v>
      </c>
      <c r="K59" s="17" t="s">
        <v>339</v>
      </c>
      <c r="L59" s="17" t="s">
        <v>340</v>
      </c>
      <c r="M59" s="17" t="s">
        <v>339</v>
      </c>
      <c r="N59" s="18">
        <f>M59+L59+K59+J59</f>
        <v>25</v>
      </c>
      <c r="O59" s="17">
        <v>21</v>
      </c>
      <c r="P59" s="17">
        <v>7</v>
      </c>
      <c r="Q59" s="17">
        <v>10</v>
      </c>
      <c r="R59" s="18">
        <v>38</v>
      </c>
      <c r="S59" s="2"/>
    </row>
    <row r="60" spans="1:19" ht="15.75" customHeight="1" x14ac:dyDescent="0.25">
      <c r="A60" s="20">
        <v>27</v>
      </c>
      <c r="B60" s="19" t="s">
        <v>11</v>
      </c>
      <c r="C60" s="21" t="s">
        <v>291</v>
      </c>
      <c r="D60" s="19" t="s">
        <v>292</v>
      </c>
      <c r="E60" s="12">
        <v>61</v>
      </c>
      <c r="F60" s="14" t="s">
        <v>106</v>
      </c>
      <c r="G60" s="14" t="s">
        <v>107</v>
      </c>
      <c r="H60" s="15">
        <v>1</v>
      </c>
      <c r="I60" s="14" t="s">
        <v>223</v>
      </c>
      <c r="J60" s="17">
        <v>8</v>
      </c>
      <c r="K60" s="17" t="s">
        <v>339</v>
      </c>
      <c r="L60" s="17" t="s">
        <v>340</v>
      </c>
      <c r="M60" s="17" t="s">
        <v>339</v>
      </c>
      <c r="N60" s="18">
        <f>M60+L60+K60+J60</f>
        <v>14</v>
      </c>
      <c r="O60" s="17">
        <v>22</v>
      </c>
      <c r="P60" s="17">
        <v>7</v>
      </c>
      <c r="Q60" s="17">
        <v>7.5</v>
      </c>
      <c r="R60" s="18">
        <v>36.5</v>
      </c>
      <c r="S60" s="2"/>
    </row>
    <row r="61" spans="1:19" ht="15.75" customHeight="1" x14ac:dyDescent="0.25">
      <c r="A61" s="25">
        <v>31</v>
      </c>
      <c r="B61" s="19" t="s">
        <v>13</v>
      </c>
      <c r="C61" s="19" t="s">
        <v>294</v>
      </c>
      <c r="D61" s="19" t="s">
        <v>295</v>
      </c>
      <c r="E61" s="12">
        <v>60</v>
      </c>
      <c r="F61" s="13" t="s">
        <v>110</v>
      </c>
      <c r="G61" s="14" t="s">
        <v>111</v>
      </c>
      <c r="H61" s="15">
        <v>8</v>
      </c>
      <c r="I61" s="13" t="s">
        <v>224</v>
      </c>
      <c r="J61" s="17">
        <v>7</v>
      </c>
      <c r="K61" s="17" t="s">
        <v>339</v>
      </c>
      <c r="L61" s="17" t="s">
        <v>340</v>
      </c>
      <c r="M61" s="17" t="s">
        <v>339</v>
      </c>
      <c r="N61" s="18">
        <f>M61+L61+K61+J61</f>
        <v>13</v>
      </c>
      <c r="O61" s="17">
        <v>16</v>
      </c>
      <c r="P61" s="17">
        <v>7</v>
      </c>
      <c r="Q61" s="17">
        <v>0</v>
      </c>
      <c r="R61" s="18">
        <v>23</v>
      </c>
      <c r="S61" s="2"/>
    </row>
    <row r="62" spans="1:19" ht="15.75" customHeight="1" x14ac:dyDescent="0.25">
      <c r="A62" s="20">
        <v>34</v>
      </c>
      <c r="B62" s="21" t="s">
        <v>16</v>
      </c>
      <c r="C62" s="21" t="s">
        <v>294</v>
      </c>
      <c r="D62" s="21" t="s">
        <v>296</v>
      </c>
      <c r="E62" s="12">
        <v>53</v>
      </c>
      <c r="F62" s="13" t="s">
        <v>114</v>
      </c>
      <c r="G62" s="14" t="s">
        <v>115</v>
      </c>
      <c r="H62" s="15">
        <v>3</v>
      </c>
      <c r="I62" s="13" t="s">
        <v>111</v>
      </c>
      <c r="J62" s="17">
        <v>15</v>
      </c>
      <c r="K62" s="17" t="s">
        <v>339</v>
      </c>
      <c r="L62" s="17" t="s">
        <v>340</v>
      </c>
      <c r="M62" s="17" t="s">
        <v>339</v>
      </c>
      <c r="N62" s="18">
        <f>M62+L62+K62+J62</f>
        <v>21</v>
      </c>
      <c r="O62" s="17">
        <v>13</v>
      </c>
      <c r="P62" s="17">
        <v>4</v>
      </c>
      <c r="Q62" s="17">
        <v>0</v>
      </c>
      <c r="R62" s="18">
        <v>17</v>
      </c>
      <c r="S62" s="2"/>
    </row>
    <row r="63" spans="1:19" ht="15.75" customHeight="1" x14ac:dyDescent="0.25">
      <c r="A63" s="20">
        <v>37</v>
      </c>
      <c r="B63" s="21" t="s">
        <v>17</v>
      </c>
      <c r="C63" s="21" t="s">
        <v>294</v>
      </c>
      <c r="D63" s="21" t="s">
        <v>297</v>
      </c>
      <c r="E63" s="22">
        <v>62</v>
      </c>
      <c r="F63" s="14" t="s">
        <v>116</v>
      </c>
      <c r="G63" s="23" t="s">
        <v>117</v>
      </c>
      <c r="H63" s="24">
        <v>7</v>
      </c>
      <c r="I63" s="14" t="s">
        <v>226</v>
      </c>
      <c r="J63" s="17">
        <v>5</v>
      </c>
      <c r="K63" s="17" t="s">
        <v>339</v>
      </c>
      <c r="L63" s="17" t="s">
        <v>340</v>
      </c>
      <c r="M63" s="17" t="s">
        <v>339</v>
      </c>
      <c r="N63" s="18">
        <f>M63+L63+K63+J63</f>
        <v>11</v>
      </c>
      <c r="O63" s="17">
        <v>10</v>
      </c>
      <c r="P63" s="17">
        <v>7</v>
      </c>
      <c r="Q63" s="17">
        <v>0</v>
      </c>
      <c r="R63" s="18">
        <v>17</v>
      </c>
      <c r="S63" s="2"/>
    </row>
    <row r="64" spans="1:19" ht="15.75" customHeight="1" x14ac:dyDescent="0.25">
      <c r="A64" s="20">
        <v>257</v>
      </c>
      <c r="B64" s="19" t="s">
        <v>20</v>
      </c>
      <c r="C64" s="19" t="s">
        <v>299</v>
      </c>
      <c r="D64" s="19" t="s">
        <v>300</v>
      </c>
      <c r="E64" s="12">
        <v>59</v>
      </c>
      <c r="F64" s="14" t="s">
        <v>122</v>
      </c>
      <c r="G64" s="14" t="s">
        <v>123</v>
      </c>
      <c r="H64" s="15">
        <v>10</v>
      </c>
      <c r="I64" s="14" t="s">
        <v>228</v>
      </c>
      <c r="J64" s="17">
        <v>8</v>
      </c>
      <c r="K64" s="17" t="s">
        <v>339</v>
      </c>
      <c r="L64" s="17" t="s">
        <v>340</v>
      </c>
      <c r="M64" s="17" t="s">
        <v>339</v>
      </c>
      <c r="N64" s="18">
        <f>M64+L64+K64+J64</f>
        <v>14</v>
      </c>
      <c r="O64" s="17">
        <v>13</v>
      </c>
      <c r="P64" s="17">
        <v>7</v>
      </c>
      <c r="Q64" s="17">
        <v>8</v>
      </c>
      <c r="R64" s="18">
        <v>28</v>
      </c>
      <c r="S64" s="2"/>
    </row>
    <row r="65" spans="1:19" ht="15.75" customHeight="1" x14ac:dyDescent="0.25">
      <c r="A65" s="20">
        <v>375</v>
      </c>
      <c r="B65" s="19" t="s">
        <v>24</v>
      </c>
      <c r="C65" s="19" t="s">
        <v>276</v>
      </c>
      <c r="D65" s="19" t="s">
        <v>305</v>
      </c>
      <c r="E65" s="12">
        <v>62</v>
      </c>
      <c r="F65" s="14" t="s">
        <v>129</v>
      </c>
      <c r="G65" s="14" t="s">
        <v>128</v>
      </c>
      <c r="H65" s="15">
        <v>2</v>
      </c>
      <c r="I65" s="14" t="s">
        <v>231</v>
      </c>
      <c r="J65" s="17">
        <v>4</v>
      </c>
      <c r="K65" s="17" t="s">
        <v>339</v>
      </c>
      <c r="L65" s="17" t="s">
        <v>340</v>
      </c>
      <c r="M65" s="17" t="s">
        <v>339</v>
      </c>
      <c r="N65" s="18">
        <f>M65+L65+K65+J65</f>
        <v>10</v>
      </c>
      <c r="O65" s="17">
        <v>13</v>
      </c>
      <c r="P65" s="17">
        <v>7</v>
      </c>
      <c r="Q65" s="17">
        <v>25</v>
      </c>
      <c r="R65" s="18">
        <v>45</v>
      </c>
      <c r="S65" s="2"/>
    </row>
    <row r="66" spans="1:19" ht="15.75" customHeight="1" x14ac:dyDescent="0.25">
      <c r="A66" s="25">
        <v>482</v>
      </c>
      <c r="B66" s="21" t="s">
        <v>26</v>
      </c>
      <c r="C66" s="21" t="s">
        <v>284</v>
      </c>
      <c r="D66" s="21" t="s">
        <v>286</v>
      </c>
      <c r="E66" s="12">
        <v>48</v>
      </c>
      <c r="F66" s="23" t="s">
        <v>132</v>
      </c>
      <c r="G66" s="14" t="s">
        <v>133</v>
      </c>
      <c r="H66" s="15">
        <v>6</v>
      </c>
      <c r="I66" s="23" t="s">
        <v>169</v>
      </c>
      <c r="J66" s="17">
        <v>20</v>
      </c>
      <c r="K66" s="17" t="s">
        <v>339</v>
      </c>
      <c r="L66" s="17" t="s">
        <v>340</v>
      </c>
      <c r="M66" s="17" t="s">
        <v>339</v>
      </c>
      <c r="N66" s="18">
        <f>M66+L66+K66+J66</f>
        <v>26</v>
      </c>
      <c r="O66" s="17">
        <v>0</v>
      </c>
      <c r="P66" s="17">
        <v>2</v>
      </c>
      <c r="Q66" s="17">
        <v>0</v>
      </c>
      <c r="R66" s="18">
        <v>2</v>
      </c>
      <c r="S66" s="2"/>
    </row>
    <row r="67" spans="1:19" ht="15.75" customHeight="1" x14ac:dyDescent="0.25">
      <c r="A67" s="20">
        <v>501</v>
      </c>
      <c r="B67" s="21" t="s">
        <v>31</v>
      </c>
      <c r="C67" s="21" t="s">
        <v>273</v>
      </c>
      <c r="D67" s="21" t="s">
        <v>310</v>
      </c>
      <c r="E67" s="12">
        <v>60</v>
      </c>
      <c r="F67" s="23" t="s">
        <v>141</v>
      </c>
      <c r="G67" s="14" t="s">
        <v>142</v>
      </c>
      <c r="H67" s="15">
        <v>10</v>
      </c>
      <c r="I67" s="23" t="s">
        <v>230</v>
      </c>
      <c r="J67" s="17">
        <v>9</v>
      </c>
      <c r="K67" s="17" t="s">
        <v>339</v>
      </c>
      <c r="L67" s="17" t="s">
        <v>340</v>
      </c>
      <c r="M67" s="17" t="s">
        <v>339</v>
      </c>
      <c r="N67" s="18">
        <f>M67+L67+K67+J67</f>
        <v>15</v>
      </c>
      <c r="O67" s="17">
        <v>12</v>
      </c>
      <c r="P67" s="17">
        <v>7</v>
      </c>
      <c r="Q67" s="17">
        <v>12</v>
      </c>
      <c r="R67" s="18">
        <v>31</v>
      </c>
      <c r="S67" s="2"/>
    </row>
    <row r="68" spans="1:19" ht="15.75" customHeight="1" x14ac:dyDescent="0.25">
      <c r="A68" s="20">
        <v>503</v>
      </c>
      <c r="B68" s="21" t="s">
        <v>33</v>
      </c>
      <c r="C68" s="21" t="s">
        <v>280</v>
      </c>
      <c r="D68" s="21" t="s">
        <v>312</v>
      </c>
      <c r="E68" s="12">
        <v>65</v>
      </c>
      <c r="F68" s="23" t="s">
        <v>145</v>
      </c>
      <c r="G68" s="14" t="s">
        <v>146</v>
      </c>
      <c r="H68" s="15">
        <v>15</v>
      </c>
      <c r="I68" s="23" t="s">
        <v>181</v>
      </c>
      <c r="J68" s="17">
        <v>3</v>
      </c>
      <c r="K68" s="17" t="s">
        <v>339</v>
      </c>
      <c r="L68" s="17" t="s">
        <v>340</v>
      </c>
      <c r="M68" s="17" t="s">
        <v>339</v>
      </c>
      <c r="N68" s="18">
        <f>M68+L68+K68+J68</f>
        <v>9</v>
      </c>
      <c r="O68" s="17">
        <v>13</v>
      </c>
      <c r="P68" s="17">
        <v>7</v>
      </c>
      <c r="Q68" s="17">
        <v>13</v>
      </c>
      <c r="R68" s="18">
        <v>33</v>
      </c>
      <c r="S68" s="2"/>
    </row>
    <row r="69" spans="1:19" ht="15.75" customHeight="1" x14ac:dyDescent="0.25">
      <c r="A69" s="20">
        <v>630</v>
      </c>
      <c r="B69" s="19" t="s">
        <v>36</v>
      </c>
      <c r="C69" s="19" t="s">
        <v>294</v>
      </c>
      <c r="D69" s="19" t="s">
        <v>295</v>
      </c>
      <c r="E69" s="12">
        <v>63</v>
      </c>
      <c r="F69" s="23" t="s">
        <v>150</v>
      </c>
      <c r="G69" s="14" t="s">
        <v>103</v>
      </c>
      <c r="H69" s="15">
        <v>2</v>
      </c>
      <c r="I69" s="23" t="s">
        <v>237</v>
      </c>
      <c r="J69" s="17">
        <v>4</v>
      </c>
      <c r="K69" s="17" t="s">
        <v>339</v>
      </c>
      <c r="L69" s="17" t="s">
        <v>340</v>
      </c>
      <c r="M69" s="17" t="s">
        <v>339</v>
      </c>
      <c r="N69" s="18">
        <f>M69+L69+K69+J69</f>
        <v>10</v>
      </c>
      <c r="O69" s="17">
        <v>20</v>
      </c>
      <c r="P69" s="17">
        <v>7</v>
      </c>
      <c r="Q69" s="17">
        <v>1</v>
      </c>
      <c r="R69" s="18">
        <v>28</v>
      </c>
      <c r="S69" s="2"/>
    </row>
    <row r="70" spans="1:19" ht="15.75" customHeight="1" x14ac:dyDescent="0.25">
      <c r="A70" s="25">
        <v>745</v>
      </c>
      <c r="B70" s="19" t="s">
        <v>38</v>
      </c>
      <c r="C70" s="19" t="s">
        <v>276</v>
      </c>
      <c r="D70" s="19" t="s">
        <v>316</v>
      </c>
      <c r="E70" s="28">
        <v>63</v>
      </c>
      <c r="F70" s="14" t="s">
        <v>153</v>
      </c>
      <c r="G70" s="13" t="s">
        <v>154</v>
      </c>
      <c r="H70" s="16">
        <v>3</v>
      </c>
      <c r="I70" s="14" t="s">
        <v>238</v>
      </c>
      <c r="J70" s="17">
        <v>5</v>
      </c>
      <c r="K70" s="17" t="s">
        <v>339</v>
      </c>
      <c r="L70" s="17" t="s">
        <v>340</v>
      </c>
      <c r="M70" s="17" t="s">
        <v>339</v>
      </c>
      <c r="N70" s="18">
        <f>M70+L70+K70+J70</f>
        <v>11</v>
      </c>
      <c r="O70" s="17">
        <v>7</v>
      </c>
      <c r="P70" s="17">
        <v>7</v>
      </c>
      <c r="Q70" s="17">
        <v>23</v>
      </c>
      <c r="R70" s="18">
        <v>37</v>
      </c>
      <c r="S70" s="2"/>
    </row>
    <row r="71" spans="1:19" ht="15.75" customHeight="1" x14ac:dyDescent="0.25">
      <c r="A71" s="25">
        <v>781</v>
      </c>
      <c r="B71" s="21" t="s">
        <v>39</v>
      </c>
      <c r="C71" s="21" t="s">
        <v>276</v>
      </c>
      <c r="D71" s="21" t="s">
        <v>311</v>
      </c>
      <c r="E71" s="22">
        <v>62</v>
      </c>
      <c r="F71" s="14" t="s">
        <v>155</v>
      </c>
      <c r="G71" s="23" t="s">
        <v>156</v>
      </c>
      <c r="H71" s="15">
        <v>3</v>
      </c>
      <c r="I71" s="13" t="s">
        <v>239</v>
      </c>
      <c r="J71" s="17">
        <v>10</v>
      </c>
      <c r="K71" s="17" t="s">
        <v>339</v>
      </c>
      <c r="L71" s="17" t="s">
        <v>340</v>
      </c>
      <c r="M71" s="17" t="s">
        <v>339</v>
      </c>
      <c r="N71" s="18">
        <f>M71+L71+K71+J71</f>
        <v>16</v>
      </c>
      <c r="O71" s="17">
        <v>22</v>
      </c>
      <c r="P71" s="17">
        <v>6</v>
      </c>
      <c r="Q71" s="17">
        <v>16</v>
      </c>
      <c r="R71" s="18">
        <v>44</v>
      </c>
      <c r="S71" s="2"/>
    </row>
    <row r="72" spans="1:19" ht="15.75" customHeight="1" x14ac:dyDescent="0.25">
      <c r="A72" s="20">
        <v>888</v>
      </c>
      <c r="B72" s="21" t="s">
        <v>40</v>
      </c>
      <c r="C72" s="21" t="s">
        <v>284</v>
      </c>
      <c r="D72" s="21" t="s">
        <v>317</v>
      </c>
      <c r="E72" s="22">
        <v>64</v>
      </c>
      <c r="F72" s="14" t="s">
        <v>157</v>
      </c>
      <c r="G72" s="23" t="s">
        <v>158</v>
      </c>
      <c r="H72" s="24">
        <v>1</v>
      </c>
      <c r="I72" s="14" t="s">
        <v>239</v>
      </c>
      <c r="J72" s="17">
        <v>4</v>
      </c>
      <c r="K72" s="17" t="s">
        <v>339</v>
      </c>
      <c r="L72" s="17" t="s">
        <v>340</v>
      </c>
      <c r="M72" s="17" t="s">
        <v>339</v>
      </c>
      <c r="N72" s="18">
        <f>M72+L72+K72+J72</f>
        <v>10</v>
      </c>
      <c r="O72" s="17">
        <v>12</v>
      </c>
      <c r="P72" s="17">
        <v>7</v>
      </c>
      <c r="Q72" s="17">
        <v>1</v>
      </c>
      <c r="R72" s="18">
        <v>20</v>
      </c>
      <c r="S72" s="2"/>
    </row>
    <row r="73" spans="1:19" ht="15.75" customHeight="1" x14ac:dyDescent="0.25">
      <c r="A73" s="20">
        <v>910</v>
      </c>
      <c r="B73" s="21" t="s">
        <v>41</v>
      </c>
      <c r="C73" s="21" t="s">
        <v>294</v>
      </c>
      <c r="D73" s="21" t="s">
        <v>318</v>
      </c>
      <c r="E73" s="22">
        <v>59</v>
      </c>
      <c r="F73" s="14" t="s">
        <v>159</v>
      </c>
      <c r="G73" s="23" t="s">
        <v>97</v>
      </c>
      <c r="H73" s="24">
        <v>2</v>
      </c>
      <c r="I73" s="14" t="s">
        <v>240</v>
      </c>
      <c r="J73" s="17">
        <v>9</v>
      </c>
      <c r="K73" s="17" t="s">
        <v>339</v>
      </c>
      <c r="L73" s="17" t="s">
        <v>340</v>
      </c>
      <c r="M73" s="17" t="s">
        <v>339</v>
      </c>
      <c r="N73" s="18">
        <f>M73+L73+K73+J73</f>
        <v>15</v>
      </c>
      <c r="O73" s="17">
        <v>16</v>
      </c>
      <c r="P73" s="17">
        <v>7</v>
      </c>
      <c r="Q73" s="17">
        <v>-2</v>
      </c>
      <c r="R73" s="18">
        <v>21</v>
      </c>
      <c r="S73" s="2"/>
    </row>
    <row r="74" spans="1:19" ht="15.75" customHeight="1" x14ac:dyDescent="0.25">
      <c r="A74" s="20">
        <v>1408</v>
      </c>
      <c r="B74" s="21" t="s">
        <v>48</v>
      </c>
      <c r="C74" s="21" t="s">
        <v>291</v>
      </c>
      <c r="D74" s="21" t="s">
        <v>307</v>
      </c>
      <c r="E74" s="22">
        <v>61</v>
      </c>
      <c r="F74" s="13" t="s">
        <v>170</v>
      </c>
      <c r="G74" s="23" t="s">
        <v>171</v>
      </c>
      <c r="H74" s="24">
        <v>2</v>
      </c>
      <c r="I74" s="13" t="s">
        <v>245</v>
      </c>
      <c r="J74" s="17">
        <v>12</v>
      </c>
      <c r="K74" s="17" t="s">
        <v>340</v>
      </c>
      <c r="L74" s="17" t="s">
        <v>340</v>
      </c>
      <c r="M74" s="17" t="s">
        <v>339</v>
      </c>
      <c r="N74" s="18">
        <f>M74+L74+K74+J74</f>
        <v>24</v>
      </c>
      <c r="O74" s="17">
        <v>5</v>
      </c>
      <c r="P74" s="17">
        <v>6</v>
      </c>
      <c r="Q74" s="17">
        <v>1</v>
      </c>
      <c r="R74" s="18">
        <v>12</v>
      </c>
      <c r="S74" s="2"/>
    </row>
    <row r="75" spans="1:19" ht="15.75" customHeight="1" x14ac:dyDescent="0.25">
      <c r="A75" s="25">
        <v>1461</v>
      </c>
      <c r="B75" s="21" t="s">
        <v>49</v>
      </c>
      <c r="C75" s="21" t="s">
        <v>287</v>
      </c>
      <c r="D75" s="21" t="s">
        <v>325</v>
      </c>
      <c r="E75" s="22">
        <v>49</v>
      </c>
      <c r="F75" s="13" t="s">
        <v>172</v>
      </c>
      <c r="G75" s="23" t="s">
        <v>111</v>
      </c>
      <c r="H75" s="24">
        <v>38</v>
      </c>
      <c r="I75" s="13" t="s">
        <v>246</v>
      </c>
      <c r="J75" s="17">
        <v>21</v>
      </c>
      <c r="K75" s="17" t="s">
        <v>339</v>
      </c>
      <c r="L75" s="17" t="s">
        <v>340</v>
      </c>
      <c r="M75" s="17" t="s">
        <v>339</v>
      </c>
      <c r="N75" s="18">
        <f>M75+L75+K75+J75</f>
        <v>27</v>
      </c>
      <c r="O75" s="17">
        <v>0</v>
      </c>
      <c r="P75" s="17">
        <v>0</v>
      </c>
      <c r="Q75" s="17">
        <v>0</v>
      </c>
      <c r="R75" s="18">
        <v>0</v>
      </c>
      <c r="S75" s="2"/>
    </row>
    <row r="76" spans="1:19" ht="15.75" customHeight="1" x14ac:dyDescent="0.25">
      <c r="A76" s="20">
        <v>1570</v>
      </c>
      <c r="B76" s="21" t="s">
        <v>57</v>
      </c>
      <c r="C76" s="21" t="s">
        <v>280</v>
      </c>
      <c r="D76" s="21" t="s">
        <v>329</v>
      </c>
      <c r="E76" s="22">
        <v>26</v>
      </c>
      <c r="F76" s="13" t="s">
        <v>185</v>
      </c>
      <c r="G76" s="23" t="s">
        <v>111</v>
      </c>
      <c r="H76" s="24">
        <v>1</v>
      </c>
      <c r="I76" s="13" t="s">
        <v>111</v>
      </c>
      <c r="J76" s="17">
        <v>46</v>
      </c>
      <c r="K76" s="17" t="s">
        <v>345</v>
      </c>
      <c r="L76" s="17" t="s">
        <v>340</v>
      </c>
      <c r="M76" s="17" t="s">
        <v>339</v>
      </c>
      <c r="N76" s="18">
        <f>M76+L76+K76+J76</f>
        <v>76</v>
      </c>
      <c r="O76" s="17">
        <v>13</v>
      </c>
      <c r="P76" s="17">
        <v>7</v>
      </c>
      <c r="Q76" s="17">
        <v>20</v>
      </c>
      <c r="R76" s="18">
        <v>40</v>
      </c>
      <c r="S76" s="2"/>
    </row>
    <row r="77" spans="1:19" ht="15.75" customHeight="1" x14ac:dyDescent="0.25">
      <c r="A77" s="20">
        <v>1590</v>
      </c>
      <c r="B77" s="21" t="s">
        <v>59</v>
      </c>
      <c r="C77" s="21" t="s">
        <v>284</v>
      </c>
      <c r="D77" s="21" t="s">
        <v>330</v>
      </c>
      <c r="E77" s="22">
        <v>60</v>
      </c>
      <c r="F77" s="14" t="s">
        <v>188</v>
      </c>
      <c r="G77" s="23" t="s">
        <v>189</v>
      </c>
      <c r="H77" s="24">
        <v>0</v>
      </c>
      <c r="I77" s="13" t="s">
        <v>251</v>
      </c>
      <c r="J77" s="17">
        <v>7</v>
      </c>
      <c r="K77" s="17" t="s">
        <v>346</v>
      </c>
      <c r="L77" s="17" t="s">
        <v>340</v>
      </c>
      <c r="M77" s="17" t="s">
        <v>339</v>
      </c>
      <c r="N77" s="18">
        <f>M77+L77+K77+J77</f>
        <v>15</v>
      </c>
      <c r="O77" s="17">
        <v>11</v>
      </c>
      <c r="P77" s="17">
        <v>7</v>
      </c>
      <c r="Q77" s="17">
        <v>6</v>
      </c>
      <c r="R77" s="18">
        <v>24</v>
      </c>
      <c r="S77" s="2"/>
    </row>
    <row r="78" spans="1:19" ht="15.75" customHeight="1" x14ac:dyDescent="0.25">
      <c r="A78" s="20">
        <v>1700</v>
      </c>
      <c r="B78" s="19" t="s">
        <v>64</v>
      </c>
      <c r="C78" s="21" t="s">
        <v>291</v>
      </c>
      <c r="D78" s="19" t="s">
        <v>307</v>
      </c>
      <c r="E78" s="12">
        <v>71</v>
      </c>
      <c r="F78" s="14" t="s">
        <v>112</v>
      </c>
      <c r="G78" s="14" t="s">
        <v>111</v>
      </c>
      <c r="H78" s="15">
        <v>0</v>
      </c>
      <c r="I78" s="14" t="s">
        <v>254</v>
      </c>
      <c r="J78" s="17">
        <v>17</v>
      </c>
      <c r="K78" s="17" t="s">
        <v>339</v>
      </c>
      <c r="L78" s="17" t="s">
        <v>340</v>
      </c>
      <c r="M78" s="17" t="s">
        <v>339</v>
      </c>
      <c r="N78" s="18">
        <f>M78+L78+K78+J78</f>
        <v>23</v>
      </c>
      <c r="O78" s="17">
        <v>13</v>
      </c>
      <c r="P78" s="17">
        <v>7</v>
      </c>
      <c r="Q78" s="17">
        <v>5.5</v>
      </c>
      <c r="R78" s="18">
        <v>25.5</v>
      </c>
      <c r="S78" s="2"/>
    </row>
    <row r="79" spans="1:19" ht="15.75" customHeight="1" x14ac:dyDescent="0.25">
      <c r="A79" s="20">
        <v>1740</v>
      </c>
      <c r="B79" s="21" t="s">
        <v>69</v>
      </c>
      <c r="C79" s="21" t="s">
        <v>280</v>
      </c>
      <c r="D79" s="21" t="s">
        <v>333</v>
      </c>
      <c r="E79" s="28">
        <v>61</v>
      </c>
      <c r="F79" s="23" t="s">
        <v>149</v>
      </c>
      <c r="G79" s="13" t="s">
        <v>198</v>
      </c>
      <c r="H79" s="16">
        <v>19</v>
      </c>
      <c r="I79" s="23" t="s">
        <v>216</v>
      </c>
      <c r="J79" s="17">
        <v>6</v>
      </c>
      <c r="K79" s="17" t="s">
        <v>346</v>
      </c>
      <c r="L79" s="17" t="s">
        <v>340</v>
      </c>
      <c r="M79" s="17" t="s">
        <v>339</v>
      </c>
      <c r="N79" s="18">
        <f>M79+L79+K79+J79</f>
        <v>14</v>
      </c>
      <c r="O79" s="17">
        <v>22</v>
      </c>
      <c r="P79" s="17">
        <v>7</v>
      </c>
      <c r="Q79" s="17">
        <v>15</v>
      </c>
      <c r="R79" s="18">
        <v>44</v>
      </c>
      <c r="S79" s="2"/>
    </row>
    <row r="80" spans="1:19" ht="15.75" customHeight="1" x14ac:dyDescent="0.25">
      <c r="A80" s="20">
        <v>1753</v>
      </c>
      <c r="B80" s="21" t="s">
        <v>70</v>
      </c>
      <c r="C80" s="21" t="s">
        <v>280</v>
      </c>
      <c r="D80" s="21" t="s">
        <v>323</v>
      </c>
      <c r="E80" s="28">
        <v>51</v>
      </c>
      <c r="F80" s="23" t="s">
        <v>86</v>
      </c>
      <c r="G80" s="13" t="s">
        <v>146</v>
      </c>
      <c r="H80" s="16">
        <v>4</v>
      </c>
      <c r="I80" s="23" t="s">
        <v>256</v>
      </c>
      <c r="J80" s="17">
        <v>16</v>
      </c>
      <c r="K80" s="17" t="s">
        <v>342</v>
      </c>
      <c r="L80" s="17" t="s">
        <v>340</v>
      </c>
      <c r="M80" s="17" t="s">
        <v>339</v>
      </c>
      <c r="N80" s="18">
        <f>M80+L80+K80+J80</f>
        <v>25</v>
      </c>
      <c r="O80" s="17">
        <v>4</v>
      </c>
      <c r="P80" s="17">
        <v>7</v>
      </c>
      <c r="Q80" s="17">
        <v>1.25</v>
      </c>
      <c r="R80" s="18">
        <v>12.25</v>
      </c>
      <c r="S80" s="2"/>
    </row>
    <row r="81" spans="1:19" ht="15.75" customHeight="1" x14ac:dyDescent="0.25">
      <c r="A81" s="20">
        <v>1777</v>
      </c>
      <c r="B81" s="21" t="s">
        <v>72</v>
      </c>
      <c r="C81" s="21" t="s">
        <v>276</v>
      </c>
      <c r="D81" s="21" t="s">
        <v>279</v>
      </c>
      <c r="E81" s="28">
        <v>54</v>
      </c>
      <c r="F81" s="23" t="s">
        <v>200</v>
      </c>
      <c r="G81" s="13" t="s">
        <v>152</v>
      </c>
      <c r="H81" s="16">
        <v>2</v>
      </c>
      <c r="I81" s="23" t="s">
        <v>258</v>
      </c>
      <c r="J81" s="17">
        <v>13</v>
      </c>
      <c r="K81" s="17" t="s">
        <v>339</v>
      </c>
      <c r="L81" s="17" t="s">
        <v>340</v>
      </c>
      <c r="M81" s="17" t="s">
        <v>339</v>
      </c>
      <c r="N81" s="18">
        <f>M81+L81+K81+J81</f>
        <v>19</v>
      </c>
      <c r="O81" s="17">
        <v>14</v>
      </c>
      <c r="P81" s="17">
        <v>6</v>
      </c>
      <c r="Q81" s="17">
        <v>3.5</v>
      </c>
      <c r="R81" s="18">
        <v>23.5</v>
      </c>
      <c r="S81" s="2"/>
    </row>
    <row r="82" spans="1:19" ht="15.75" customHeight="1" x14ac:dyDescent="0.25">
      <c r="A82" s="25">
        <v>1843</v>
      </c>
      <c r="B82" s="21" t="s">
        <v>76</v>
      </c>
      <c r="C82" s="21" t="s">
        <v>284</v>
      </c>
      <c r="D82" s="21" t="s">
        <v>330</v>
      </c>
      <c r="E82" s="28">
        <v>64</v>
      </c>
      <c r="F82" s="23" t="s">
        <v>205</v>
      </c>
      <c r="G82" s="13" t="s">
        <v>206</v>
      </c>
      <c r="H82" s="16">
        <v>4</v>
      </c>
      <c r="I82" s="23" t="s">
        <v>111</v>
      </c>
      <c r="J82" s="17">
        <v>3</v>
      </c>
      <c r="K82" s="17" t="s">
        <v>339</v>
      </c>
      <c r="L82" s="17" t="s">
        <v>340</v>
      </c>
      <c r="M82" s="17" t="s">
        <v>339</v>
      </c>
      <c r="N82" s="18">
        <f>M82+L82+K82+J82</f>
        <v>9</v>
      </c>
      <c r="O82" s="17">
        <v>12</v>
      </c>
      <c r="P82" s="17">
        <v>7</v>
      </c>
      <c r="Q82" s="17">
        <v>1.25</v>
      </c>
      <c r="R82" s="18">
        <v>20.25</v>
      </c>
      <c r="S82" s="2"/>
    </row>
    <row r="83" spans="1:19" ht="15.75" customHeight="1" x14ac:dyDescent="0.25">
      <c r="A83" s="25">
        <v>1899</v>
      </c>
      <c r="B83" s="29" t="s">
        <v>78</v>
      </c>
      <c r="C83" s="29" t="s">
        <v>289</v>
      </c>
      <c r="D83" s="29" t="s">
        <v>324</v>
      </c>
      <c r="E83" s="30">
        <v>60</v>
      </c>
      <c r="F83" s="23" t="s">
        <v>209</v>
      </c>
      <c r="G83" s="31" t="s">
        <v>210</v>
      </c>
      <c r="H83" s="16">
        <v>0</v>
      </c>
      <c r="I83" s="23" t="s">
        <v>249</v>
      </c>
      <c r="J83" s="17">
        <v>4</v>
      </c>
      <c r="K83" s="17" t="s">
        <v>339</v>
      </c>
      <c r="L83" s="17" t="s">
        <v>340</v>
      </c>
      <c r="M83" s="17" t="s">
        <v>339</v>
      </c>
      <c r="N83" s="18">
        <f>M83+L83+K83+J83</f>
        <v>10</v>
      </c>
      <c r="O83" s="17">
        <v>13</v>
      </c>
      <c r="P83" s="17">
        <v>5</v>
      </c>
      <c r="Q83" s="17">
        <v>0</v>
      </c>
      <c r="R83" s="18">
        <v>18</v>
      </c>
      <c r="S83" s="2"/>
    </row>
  </sheetData>
  <autoFilter ref="A1:R83" xr:uid="{CED2102C-322E-4741-9459-33A40888AEF7}"/>
  <mergeCells count="1"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Damen ePayment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Samir</dc:creator>
  <cp:lastModifiedBy>Ashraf Samir</cp:lastModifiedBy>
  <dcterms:created xsi:type="dcterms:W3CDTF">2026-04-16T09:49:28Z</dcterms:created>
  <dcterms:modified xsi:type="dcterms:W3CDTF">2026-04-28T11:14:33Z</dcterms:modified>
</cp:coreProperties>
</file>